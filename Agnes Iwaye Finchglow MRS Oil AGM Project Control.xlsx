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lobalwitness/Downloads/"/>
    </mc:Choice>
  </mc:AlternateContent>
  <xr:revisionPtr revIDLastSave="0" documentId="13_ncr:1_{A629F01F-EE5C-204F-8C71-BF2E473454F9}" xr6:coauthVersionLast="47" xr6:coauthVersionMax="47" xr10:uidLastSave="{00000000-0000-0000-0000-000000000000}"/>
  <bookViews>
    <workbookView xWindow="0" yWindow="740" windowWidth="29400" windowHeight="16840" activeTab="7" xr2:uid="{00000000-000D-0000-FFFF-FFFF00000000}"/>
  </bookViews>
  <sheets>
    <sheet name="Portfolio Summary" sheetId="1" r:id="rId1"/>
    <sheet name="Project Timeline" sheetId="2" r:id="rId2"/>
    <sheet name="Budget Control" sheetId="3" r:id="rId3"/>
    <sheet name="Vendor Tracker" sheetId="4" r:id="rId4"/>
    <sheet name="RAID Log" sheetId="5" r:id="rId5"/>
    <sheet name="RACI" sheetId="6" r:id="rId6"/>
    <sheet name="Traveler Readiness" sheetId="7" r:id="rId7"/>
    <sheet name="Executive 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8" l="1"/>
  <c r="A31" i="8"/>
  <c r="B30" i="8"/>
  <c r="A30" i="8"/>
  <c r="B29" i="8"/>
  <c r="A29" i="8"/>
  <c r="B28" i="8"/>
  <c r="A28" i="8"/>
  <c r="B27" i="8"/>
  <c r="A27" i="8"/>
  <c r="B26" i="8"/>
  <c r="A26" i="8"/>
  <c r="G16" i="8"/>
  <c r="D16" i="8"/>
  <c r="D15" i="8"/>
  <c r="D14" i="8"/>
  <c r="D13" i="8"/>
  <c r="D12" i="8"/>
  <c r="D11" i="8"/>
  <c r="A5" i="8"/>
  <c r="J10" i="7"/>
  <c r="J16" i="8" s="1"/>
  <c r="I10" i="7"/>
  <c r="J9" i="7"/>
  <c r="I9" i="7"/>
  <c r="J8" i="7"/>
  <c r="I8" i="7"/>
  <c r="J7" i="7"/>
  <c r="I7" i="7"/>
  <c r="J6" i="7"/>
  <c r="I6" i="7"/>
  <c r="J5" i="7"/>
  <c r="I5" i="7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11" i="4"/>
  <c r="F10" i="4"/>
  <c r="F9" i="4"/>
  <c r="F8" i="4"/>
  <c r="F7" i="4"/>
  <c r="F6" i="4"/>
  <c r="F5" i="4"/>
  <c r="D14" i="3"/>
  <c r="C14" i="3"/>
  <c r="B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E5" i="8" l="1"/>
  <c r="G14" i="3"/>
  <c r="C5" i="8"/>
  <c r="F14" i="3"/>
  <c r="G5" i="8" s="1"/>
  <c r="E14" i="3"/>
</calcChain>
</file>

<file path=xl/sharedStrings.xml><?xml version="1.0" encoding="utf-8"?>
<sst xmlns="http://schemas.openxmlformats.org/spreadsheetml/2006/main" count="713" uniqueCount="293">
  <si>
    <t>MRS Oil Annual General Meeting Travel Program — Nairobi, Kenya</t>
  </si>
  <si>
    <t>Project period: Feb 2020–Mar 2021 | Role: Account Manager / Project Lead | 180 travelers | 5 days / 4 nights</t>
  </si>
  <si>
    <t>Business context</t>
  </si>
  <si>
    <t>Finchglow Travels coordinated an international annual general meeting travel program for MRS Oil employees and executives.</t>
  </si>
  <si>
    <t>SUCCESS CRITERIA</t>
  </si>
  <si>
    <t>Project objective</t>
  </si>
  <si>
    <t>Plan and execute end-to-end travel, accommodation, conference, ground transport, leisure and traveler-support services in Nairobi.</t>
  </si>
  <si>
    <t>1. All travelers ticketed, documented and briefed before departure</t>
  </si>
  <si>
    <t>Complexity</t>
  </si>
  <si>
    <t>180 travelers; cross-functional delivery; multiple Kenyan vendors; credit constraints; evolving COVID-19 entry, testing, capacity and safety requirements.</t>
  </si>
  <si>
    <t>2. Conference, hotel, transport and leisure vendors contracted and confirmed</t>
  </si>
  <si>
    <t>My responsibilities</t>
  </si>
  <si>
    <t>Requirements gathering, stakeholder coordination, schedule, vendor management, budget control, credit negotiation, risk planning, traveler communications and execution oversight.</t>
  </si>
  <si>
    <t>3. Revised spending maintained within the approved ₦165 million ceiling</t>
  </si>
  <si>
    <t>Original budget</t>
  </si>
  <si>
    <t>₦132.0 million — illustrative pre-COVID baseline.</t>
  </si>
  <si>
    <t>4. Health, medical, evacuation and supplier-failure contingencies activated</t>
  </si>
  <si>
    <t>Revised budget</t>
  </si>
  <si>
    <t>₦165.0 million after a 25% COVID-era rebaseline.</t>
  </si>
  <si>
    <t>5. Daily movements delivered safely with rapid incident escalation</t>
  </si>
  <si>
    <t>Actual spend</t>
  </si>
  <si>
    <t>6. Program closed with reconciled invoices, feedback and lessons learned</t>
  </si>
  <si>
    <t>Execution</t>
  </si>
  <si>
    <t>Five-day/four-night Nairobi program delivered in March 2021 with conference sessions, local movements, group activities and medical standby.</t>
  </si>
  <si>
    <t>Illustrative outcome</t>
  </si>
  <si>
    <t>180 travelers supported; 100% manifest reconciliation; 96% on-time movements; 92% satisfaction; no major safety incidents.</t>
  </si>
  <si>
    <t>Fourteen-Month Project Timeline &amp; COVID-19 Rebaseline</t>
  </si>
  <si>
    <t>Blue bars show the planning window. The December 2020 rebaseline incorporated new health, supplier and contingency requirements.</t>
  </si>
  <si>
    <t>Workstream</t>
  </si>
  <si>
    <t>Activity</t>
  </si>
  <si>
    <t>Start</t>
  </si>
  <si>
    <t>Finish</t>
  </si>
  <si>
    <t>Owner</t>
  </si>
  <si>
    <t>Deliverable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</si>
  <si>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</si>
  <si>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</si>
  <si>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</si>
  <si>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</si>
  <si>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</si>
  <si>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</si>
  <si>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</si>
  <si>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</si>
  <si>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</si>
  <si>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</si>
  <si>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</si>
  <si>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</si>
  <si>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</si>
  <si>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</si>
  <si>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Status</t>
  </si>
  <si>
    <t>Initiation</t>
  </si>
  <si>
    <t>Prior-trip review, charter and requirements</t>
  </si>
  <si>
    <t>Account Manager</t>
  </si>
  <si>
    <t>Approved charter</t>
  </si>
  <si>
    <t>Complete</t>
  </si>
  <si>
    <t>Planning</t>
  </si>
  <si>
    <t>Destination options and feasibility</t>
  </si>
  <si>
    <t>Nairobi recommendation</t>
  </si>
  <si>
    <t>Disruption</t>
  </si>
  <si>
    <t>COVID impact assessment and planning pause</t>
  </si>
  <si>
    <t>Project Team</t>
  </si>
  <si>
    <t>Impact assessment</t>
  </si>
  <si>
    <t>Sourcing</t>
  </si>
  <si>
    <t>Flights, hotel and venue RFP</t>
  </si>
  <si>
    <t>Travel/Holidays</t>
  </si>
  <si>
    <t>Vendor options</t>
  </si>
  <si>
    <t>Design</t>
  </si>
  <si>
    <t>Draft itinerary and event program</t>
  </si>
  <si>
    <t>Integrated itinerary</t>
  </si>
  <si>
    <t>Contracting</t>
  </si>
  <si>
    <t>Hotel, transport and venue contracting</t>
  </si>
  <si>
    <t>Procurement/Legal</t>
  </si>
  <si>
    <t>Signed agreements</t>
  </si>
  <si>
    <t>Finance</t>
  </si>
  <si>
    <t>Credit structure and deposit schedule</t>
  </si>
  <si>
    <t>Finance/Account Manager</t>
  </si>
  <si>
    <t>Funding plan</t>
  </si>
  <si>
    <t>Rebaseline</t>
  </si>
  <si>
    <t>COVID requirements, budget and schedule reset</t>
  </si>
  <si>
    <t>Approved rebaseline</t>
  </si>
  <si>
    <t>Risk</t>
  </si>
  <si>
    <t>Medical, evacuation and contingency plan</t>
  </si>
  <si>
    <t>Risk/Medical</t>
  </si>
  <si>
    <t>Emergency plan</t>
  </si>
  <si>
    <t>Readiness</t>
  </si>
  <si>
    <t>Traveler data, documents and health readiness</t>
  </si>
  <si>
    <t>Travel Team</t>
  </si>
  <si>
    <t>Cleared traveler list</t>
  </si>
  <si>
    <t>Comms</t>
  </si>
  <si>
    <t>Briefings, itinerary packs and help desk</t>
  </si>
  <si>
    <t>Traveler packs</t>
  </si>
  <si>
    <t>Finalization</t>
  </si>
  <si>
    <t>Vendor confirmations and command-center test</t>
  </si>
  <si>
    <t>Go-live checklist</t>
  </si>
  <si>
    <t>Nairobi AGM travel program</t>
  </si>
  <si>
    <t>All Leads</t>
  </si>
  <si>
    <t>Successful program</t>
  </si>
  <si>
    <t>Closeout</t>
  </si>
  <si>
    <t>Invoice reconciliation and lessons learned</t>
  </si>
  <si>
    <t>Account Manager/Finance</t>
  </si>
  <si>
    <t>Closeout report</t>
  </si>
  <si>
    <t>Budget Control &amp; COVID-19 Rebaseline — ₦ Millions</t>
  </si>
  <si>
    <t>All amounts are illustrative. Positive revised variance means actual spend was below the revised budget.</t>
  </si>
  <si>
    <t>Cost category</t>
  </si>
  <si>
    <t>Rebaseline increase</t>
  </si>
  <si>
    <t>Variance to revised</t>
  </si>
  <si>
    <t>Actual / revised</t>
  </si>
  <si>
    <t>Comment</t>
  </si>
  <si>
    <t>International flights</t>
  </si>
  <si>
    <t>Higher fares and schedule flexibility</t>
  </si>
  <si>
    <t>Hotel accommodation</t>
  </si>
  <si>
    <t>Flexible room block and health protocols</t>
  </si>
  <si>
    <t>Ground transportation</t>
  </si>
  <si>
    <t>Additional vehicles and capacity controls</t>
  </si>
  <si>
    <t>Conference venue &amp; AV</t>
  </si>
  <si>
    <t>Spacing, equipment and revised event setup</t>
  </si>
  <si>
    <t>Group activities</t>
  </si>
  <si>
    <t>Rescheduled and lower-density activities</t>
  </si>
  <si>
    <t>Health &amp; safety</t>
  </si>
  <si>
    <t>Testing, PPE, standby doctor and medical support</t>
  </si>
  <si>
    <t>Insurance, visa &amp; admin</t>
  </si>
  <si>
    <t>Expanded travel support and documentation</t>
  </si>
  <si>
    <t>Contingency reserve</t>
  </si>
  <si>
    <t>Risk reserve partially consumed</t>
  </si>
  <si>
    <t>TOTAL</t>
  </si>
  <si>
    <t>Modeled closeout</t>
  </si>
  <si>
    <t>Vendor &amp; Contract Tracker</t>
  </si>
  <si>
    <t>Track critical commercial, operational and contingency commitments across Nigeria and Kenya.</t>
  </si>
  <si>
    <t>Package</t>
  </si>
  <si>
    <t>Vendor type</t>
  </si>
  <si>
    <t>Location</t>
  </si>
  <si>
    <t>Contract value (₦m)</t>
  </si>
  <si>
    <t>Deposit %</t>
  </si>
  <si>
    <t>Deposit (₦m)</t>
  </si>
  <si>
    <t>SLA / commitment</t>
  </si>
  <si>
    <t>Backup plan</t>
  </si>
  <si>
    <t>Flights</t>
  </si>
  <si>
    <t>Airline/GDS</t>
  </si>
  <si>
    <t>Nigeria–Kenya</t>
  </si>
  <si>
    <t>Confirmed</t>
  </si>
  <si>
    <t>Group seats; rebooking escalation</t>
  </si>
  <si>
    <t>Alternative routing/airline</t>
  </si>
  <si>
    <t>Travel Lead</t>
  </si>
  <si>
    <t>Accommodation</t>
  </si>
  <si>
    <t>Hotel</t>
  </si>
  <si>
    <t>Nairobi</t>
  </si>
  <si>
    <t>90 twin rooms; flexible rooming list</t>
  </si>
  <si>
    <t>Overflow hotel block</t>
  </si>
  <si>
    <t>Holidays Lead</t>
  </si>
  <si>
    <t>Ground transport</t>
  </si>
  <si>
    <t>Transport operator</t>
  </si>
  <si>
    <t>Buses, airport transfers, standby vehicle</t>
  </si>
  <si>
    <t>Secondary fleet provider</t>
  </si>
  <si>
    <t>Local Logistics</t>
  </si>
  <si>
    <t>Conference</t>
  </si>
  <si>
    <t>Venue &amp; AV</t>
  </si>
  <si>
    <t>Conference hall, AV, spacing setup</t>
  </si>
  <si>
    <t>Hotel ballroom</t>
  </si>
  <si>
    <t>Events Lead</t>
  </si>
  <si>
    <t>Activities</t>
  </si>
  <si>
    <t>DMC / attractions</t>
  </si>
  <si>
    <t>Kenya</t>
  </si>
  <si>
    <t>Timed group activities and guides</t>
  </si>
  <si>
    <t>Indoor alternative itinerary</t>
  </si>
  <si>
    <t>Medical</t>
  </si>
  <si>
    <t>Clinic / doctor</t>
  </si>
  <si>
    <t>Standby doctor and referral pathway</t>
  </si>
  <si>
    <t>Partner hospital escalation</t>
  </si>
  <si>
    <t>Risk Lead</t>
  </si>
  <si>
    <t>Insurance/admin</t>
  </si>
  <si>
    <t>Insurer &amp; support</t>
  </si>
  <si>
    <t>Nigeria/Kenya</t>
  </si>
  <si>
    <t>Traveler coverage and document support</t>
  </si>
  <si>
    <t>Escalate to broker</t>
  </si>
  <si>
    <t>RAID Log — Travel, Health, Financial &amp; Supplier Risk</t>
  </si>
  <si>
    <t>Risk score = probability × impact. High: 15–25; Medium: 8–14; Low: 1–7.</t>
  </si>
  <si>
    <t>ID</t>
  </si>
  <si>
    <t>Type</t>
  </si>
  <si>
    <t>Description</t>
  </si>
  <si>
    <t>Probability</t>
  </si>
  <si>
    <t>Impact</t>
  </si>
  <si>
    <t>Score</t>
  </si>
  <si>
    <t>Rating</t>
  </si>
  <si>
    <t>Response / control</t>
  </si>
  <si>
    <t>Trigger</t>
  </si>
  <si>
    <t>Review date</t>
  </si>
  <si>
    <t>R-01</t>
  </si>
  <si>
    <t>Border, entry or testing requirements change</t>
  </si>
  <si>
    <t>Monitor rules; maintain document checklist; define rerouting/postponement decision gate</t>
  </si>
  <si>
    <t>Policy change</t>
  </si>
  <si>
    <t>Mitigated</t>
  </si>
  <si>
    <t>R-02</t>
  </si>
  <si>
    <t>Flight cancellation or major schedule disruption</t>
  </si>
  <si>
    <t>Flexible fares; backup routing; airline escalation contact; traveler regrouping plan</t>
  </si>
  <si>
    <t>Schedule change</t>
  </si>
  <si>
    <t>R-03</t>
  </si>
  <si>
    <t>Traveler illness or medical emergency</t>
  </si>
  <si>
    <t>Standby doctor; referral hospital; insurance; isolation and evacuation protocol</t>
  </si>
  <si>
    <t>Reported symptoms</t>
  </si>
  <si>
    <t>R-04</t>
  </si>
  <si>
    <t>Local transport supplier failure</t>
  </si>
  <si>
    <t>Backup fleet; daily vehicle checks; dispatch command channel</t>
  </si>
  <si>
    <t>Logistics Lead</t>
  </si>
  <si>
    <t>Vehicle no-show</t>
  </si>
  <si>
    <t>R-05</t>
  </si>
  <si>
    <t>Credit exposure exceeds internal limit</t>
  </si>
  <si>
    <t>Staged client payments; deposit calendar; weekly exposure review; approval gates</t>
  </si>
  <si>
    <t>Finance Lead</t>
  </si>
  <si>
    <t>Exposure &gt; limit</t>
  </si>
  <si>
    <t>Closed</t>
  </si>
  <si>
    <t>R-06</t>
  </si>
  <si>
    <t>Hotel or venue capacity constraints</t>
  </si>
  <si>
    <t>Flexible room block; overflow hotel; alternative ballroom; attrition clauses</t>
  </si>
  <si>
    <t>Capacity reduction</t>
  </si>
  <si>
    <t>R-07</t>
  </si>
  <si>
    <t>Budget inflation or FX movement</t>
  </si>
  <si>
    <t>Budget rebaseline; negotiated rates; contingency reserve; variance reporting</t>
  </si>
  <si>
    <t>Variance &gt; 5%</t>
  </si>
  <si>
    <t>A-01</t>
  </si>
  <si>
    <t>Assumption</t>
  </si>
  <si>
    <t>180 travelers submit accurate data by cutoff</t>
  </si>
  <si>
    <t>Named coordinators; exception list; weekly readiness dashboard</t>
  </si>
  <si>
    <t>MRS Oil HR</t>
  </si>
  <si>
    <t>Readiness &lt; 90%</t>
  </si>
  <si>
    <t>Validated</t>
  </si>
  <si>
    <t>Project Governance RACI</t>
  </si>
  <si>
    <t>MRS Oil Sponsor</t>
  </si>
  <si>
    <t>Travel Consultants</t>
  </si>
  <si>
    <t>Holidays Team</t>
  </si>
  <si>
    <t>Kenya Vendors</t>
  </si>
  <si>
    <t>Traveler Coordinators</t>
  </si>
  <si>
    <t>Charter and requirements</t>
  </si>
  <si>
    <t>R/A</t>
  </si>
  <si>
    <t>A</t>
  </si>
  <si>
    <t>C</t>
  </si>
  <si>
    <t>I</t>
  </si>
  <si>
    <t>Destination and itinerary</t>
  </si>
  <si>
    <t>R</t>
  </si>
  <si>
    <t>Flight booking</t>
  </si>
  <si>
    <t>Credit and payment plan</t>
  </si>
  <si>
    <t>A/R</t>
  </si>
  <si>
    <t>Hotel and venue sourcing</t>
  </si>
  <si>
    <t>COVID/health requirements</t>
  </si>
  <si>
    <t>Traveler documentation</t>
  </si>
  <si>
    <t>Emergency response plan</t>
  </si>
  <si>
    <t>On-site execution</t>
  </si>
  <si>
    <t>Closeout and reconciliation</t>
  </si>
  <si>
    <t>Traveler Readiness Dashboard — Aggregate Data Only</t>
  </si>
  <si>
    <t>Illustrative aggregate tracking avoids exposing personal traveler data. Readiness rate = fully cleared travelers ÷ 180.</t>
  </si>
  <si>
    <t>Checkpoint</t>
  </si>
  <si>
    <t>Total travelers</t>
  </si>
  <si>
    <t>Passport verified</t>
  </si>
  <si>
    <t>Ticketed</t>
  </si>
  <si>
    <t>Hotel assigned</t>
  </si>
  <si>
    <t>Health documents</t>
  </si>
  <si>
    <t>Briefing complete</t>
  </si>
  <si>
    <t>Fully cleared</t>
  </si>
  <si>
    <t>Readiness rate</t>
  </si>
  <si>
    <t>Open exceptions</t>
  </si>
  <si>
    <t>8 weeks before</t>
  </si>
  <si>
    <t>6 weeks before</t>
  </si>
  <si>
    <t>4 weeks before</t>
  </si>
  <si>
    <t>2 weeks before</t>
  </si>
  <si>
    <t>1 week before</t>
  </si>
  <si>
    <t>Departure day</t>
  </si>
  <si>
    <t>Executive Dashboard — MRS Oil Nairobi AGM Travel Program</t>
  </si>
  <si>
    <t>Travelers</t>
  </si>
  <si>
    <t>Budget saving</t>
  </si>
  <si>
    <t>On-time movements</t>
  </si>
  <si>
    <t>Satisfaction</t>
  </si>
  <si>
    <t>Metric</t>
  </si>
  <si>
    <t>Target</t>
  </si>
  <si>
    <t>Result</t>
  </si>
  <si>
    <t>TRAVELER CLEARANCE TRAJECTORY</t>
  </si>
  <si>
    <t>Fully cleared before departure</t>
  </si>
  <si>
    <t>8 weeks</t>
  </si>
  <si>
    <t>6 weeks</t>
  </si>
  <si>
    <t>Manifest reconciliation</t>
  </si>
  <si>
    <t>4 weeks</t>
  </si>
  <si>
    <t>2 weeks</t>
  </si>
  <si>
    <t>1 week</t>
  </si>
  <si>
    <t>Departure</t>
  </si>
  <si>
    <t>Traveler satisfaction</t>
  </si>
  <si>
    <t>Cleared</t>
  </si>
  <si>
    <t>Rate</t>
  </si>
  <si>
    <t>Major safety incidents</t>
  </si>
  <si>
    <t>Readiness gain</t>
  </si>
  <si>
    <t>Spend within revised budget</t>
  </si>
  <si>
    <t>Start to departure</t>
  </si>
  <si>
    <t>Closeout summary</t>
  </si>
  <si>
    <t>The program was rebaselined for pandemic-era requirements, delivered within the revised budget, and supported all 180 travelers through a structured command center, supplier controls and medical contingency plan.</t>
  </si>
  <si>
    <t>₦160.5 million —  ₦4.5 million below revised budget.</t>
  </si>
  <si>
    <t xml:space="preserve"> Positive revised variance means actual spend was below the revised budget.</t>
  </si>
  <si>
    <t>Readiness rate = fully cleared travelers ÷ 180.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</si>
</sst>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&quot;₦&quot;0.00"/>
    <numFmt numFmtId="166" formatCode="0.0%"/>
    <numFmt numFmtId="167" formatCode="&quot;₦&quot;0.0"/>
  </numFmts>
  <fonts count="9">
    <font>
      <sz val="11"/>
      <name val="Carlito"/>
    </font>
    <font>
      <sz val="11"/>
      <name val="Aptos"/>
    </font>
    <font>
      <sz val="11"/>
      <color rgb="FFFFFFFF"/>
      <name val="Aptos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color rgb="FF17324D"/>
      <name val="Times New Roman"/>
      <family val="1"/>
    </font>
    <font>
      <b/>
      <sz val="24"/>
      <color rgb="FFFFFFFF"/>
      <name val="Times New Roman"/>
      <family val="1"/>
    </font>
    <font>
      <i/>
      <sz val="12"/>
      <color rgb="FF667085"/>
      <name val="Times New Roman"/>
      <family val="1"/>
    </font>
    <font>
      <sz val="12"/>
      <color rgb="FFFFFF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7F3EA"/>
      </patternFill>
    </fill>
    <fill>
      <patternFill patternType="solid">
        <fgColor rgb="FFEAF2F8"/>
      </patternFill>
    </fill>
    <fill>
      <patternFill patternType="solid">
        <fgColor rgb="FF1F7A78"/>
      </patternFill>
    </fill>
  </fills>
  <borders count="22">
    <border>
      <left/>
      <right/>
      <top/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/>
      <top/>
      <bottom style="double">
        <color rgb="FF17324D"/>
      </bottom>
      <diagonal/>
    </border>
    <border>
      <left style="thin">
        <color rgb="FF1F7A78"/>
      </left>
      <right/>
      <top style="thin">
        <color rgb="FF1F7A78"/>
      </top>
      <bottom/>
      <diagonal/>
    </border>
    <border>
      <left/>
      <right/>
      <top style="thin">
        <color rgb="FF1F7A78"/>
      </top>
      <bottom/>
      <diagonal/>
    </border>
    <border>
      <left/>
      <right style="thin">
        <color rgb="FF1F7A78"/>
      </right>
      <top style="thin">
        <color rgb="FF1F7A78"/>
      </top>
      <bottom/>
      <diagonal/>
    </border>
    <border>
      <left style="thin">
        <color rgb="FF1F7A78"/>
      </left>
      <right/>
      <top/>
      <bottom/>
      <diagonal/>
    </border>
    <border>
      <left/>
      <right style="thin">
        <color rgb="FF1F7A78"/>
      </right>
      <top/>
      <bottom/>
      <diagonal/>
    </border>
    <border>
      <left style="thin">
        <color rgb="FF1F7A78"/>
      </left>
      <right/>
      <top/>
      <bottom style="thin">
        <color rgb="FF1F7A78"/>
      </bottom>
      <diagonal/>
    </border>
    <border>
      <left/>
      <right/>
      <top/>
      <bottom style="thin">
        <color rgb="FF1F7A78"/>
      </bottom>
      <diagonal/>
    </border>
    <border>
      <left/>
      <right style="thin">
        <color rgb="FF1F7A78"/>
      </right>
      <top/>
      <bottom style="thin">
        <color rgb="FF1F7A7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/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 applyAlignment="1">
      <alignment wrapText="1"/>
    </xf>
    <xf numFmtId="166" fontId="4" fillId="0" borderId="0" xfId="0" applyNumberFormat="1" applyFont="1" applyAlignment="1">
      <alignment wrapText="1"/>
    </xf>
    <xf numFmtId="0" fontId="5" fillId="4" borderId="13" xfId="0" applyFont="1" applyFill="1" applyBorder="1" applyAlignment="1">
      <alignment wrapText="1"/>
    </xf>
    <xf numFmtId="165" fontId="5" fillId="4" borderId="13" xfId="0" applyNumberFormat="1" applyFont="1" applyFill="1" applyBorder="1" applyAlignment="1">
      <alignment wrapText="1"/>
    </xf>
    <xf numFmtId="166" fontId="5" fillId="4" borderId="13" xfId="0" applyNumberFormat="1" applyFont="1" applyFill="1" applyBorder="1" applyAlignment="1">
      <alignment wrapText="1"/>
    </xf>
    <xf numFmtId="0" fontId="6" fillId="2" borderId="0" xfId="0" applyFont="1" applyFill="1" applyAlignment="1">
      <alignment horizontal="center" vertical="center"/>
    </xf>
    <xf numFmtId="164" fontId="4" fillId="0" borderId="0" xfId="0" applyNumberFormat="1" applyFont="1"/>
    <xf numFmtId="0" fontId="7" fillId="3" borderId="0" xfId="0" applyFont="1" applyFill="1" applyAlignment="1">
      <alignment horizontal="center"/>
    </xf>
    <xf numFmtId="0" fontId="5" fillId="4" borderId="0" xfId="0" applyFont="1" applyFill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9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wrapText="1"/>
    </xf>
    <xf numFmtId="166" fontId="4" fillId="0" borderId="0" xfId="0" applyNumberFormat="1" applyFont="1"/>
    <xf numFmtId="3" fontId="5" fillId="4" borderId="14" xfId="0" applyNumberFormat="1" applyFont="1" applyFill="1" applyBorder="1" applyAlignment="1">
      <alignment horizontal="center" vertical="center"/>
    </xf>
    <xf numFmtId="3" fontId="5" fillId="4" borderId="15" xfId="0" applyNumberFormat="1" applyFont="1" applyFill="1" applyBorder="1" applyAlignment="1">
      <alignment horizontal="center" vertical="center"/>
    </xf>
    <xf numFmtId="167" fontId="5" fillId="4" borderId="15" xfId="0" applyNumberFormat="1" applyFont="1" applyFill="1" applyBorder="1" applyAlignment="1">
      <alignment horizontal="center" vertical="center"/>
    </xf>
    <xf numFmtId="9" fontId="5" fillId="4" borderId="15" xfId="0" applyNumberFormat="1" applyFont="1" applyFill="1" applyBorder="1" applyAlignment="1">
      <alignment horizontal="center" vertical="center"/>
    </xf>
    <xf numFmtId="9" fontId="5" fillId="4" borderId="16" xfId="0" applyNumberFormat="1" applyFont="1" applyFill="1" applyBorder="1" applyAlignment="1">
      <alignment horizontal="center" vertical="center"/>
    </xf>
    <xf numFmtId="3" fontId="5" fillId="4" borderId="17" xfId="0" applyNumberFormat="1" applyFont="1" applyFill="1" applyBorder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/>
    </xf>
    <xf numFmtId="9" fontId="5" fillId="4" borderId="0" xfId="0" applyNumberFormat="1" applyFont="1" applyFill="1" applyAlignment="1">
      <alignment horizontal="center" vertical="center"/>
    </xf>
    <xf numFmtId="9" fontId="5" fillId="4" borderId="18" xfId="0" applyNumberFormat="1" applyFont="1" applyFill="1" applyBorder="1" applyAlignment="1">
      <alignment horizontal="center" vertical="center"/>
    </xf>
    <xf numFmtId="3" fontId="5" fillId="4" borderId="19" xfId="0" applyNumberFormat="1" applyFont="1" applyFill="1" applyBorder="1" applyAlignment="1">
      <alignment horizontal="center" vertical="center"/>
    </xf>
    <xf numFmtId="3" fontId="5" fillId="4" borderId="20" xfId="0" applyNumberFormat="1" applyFont="1" applyFill="1" applyBorder="1" applyAlignment="1">
      <alignment horizontal="center" vertical="center"/>
    </xf>
    <xf numFmtId="167" fontId="5" fillId="4" borderId="20" xfId="0" applyNumberFormat="1" applyFont="1" applyFill="1" applyBorder="1" applyAlignment="1">
      <alignment horizontal="center" vertical="center"/>
    </xf>
    <xf numFmtId="9" fontId="5" fillId="4" borderId="20" xfId="0" applyNumberFormat="1" applyFont="1" applyFill="1" applyBorder="1" applyAlignment="1">
      <alignment horizontal="center" vertical="center"/>
    </xf>
    <xf numFmtId="9" fontId="5" fillId="4" borderId="21" xfId="0" applyNumberFormat="1" applyFont="1" applyFill="1" applyBorder="1" applyAlignment="1">
      <alignment horizontal="center" vertical="center"/>
    </xf>
    <xf numFmtId="3" fontId="4" fillId="0" borderId="0" xfId="0" applyNumberFormat="1" applyFont="1"/>
    <xf numFmtId="9" fontId="4" fillId="0" borderId="0" xfId="0" applyNumberFormat="1" applyFont="1"/>
    <xf numFmtId="0" fontId="5" fillId="4" borderId="0" xfId="0" applyFont="1" applyFill="1"/>
    <xf numFmtId="167" fontId="4" fillId="0" borderId="0" xfId="0" applyNumberFormat="1" applyFont="1"/>
    <xf numFmtId="0" fontId="5" fillId="3" borderId="0" xfId="0" applyFont="1" applyFill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13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3D8DFF"/>
      </font>
      <fill>
        <patternFill patternType="solid">
          <bgColor rgb="FF3D8D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activeCell="C18" sqref="C18"/>
    </sheetView>
  </sheetViews>
  <sheetFormatPr baseColWidth="10" defaultColWidth="8.83203125" defaultRowHeight="16"/>
  <cols>
    <col min="1" max="1" width="24" style="3" customWidth="1"/>
    <col min="2" max="2" width="54" style="3" customWidth="1"/>
    <col min="3" max="8" width="16" style="3" customWidth="1"/>
    <col min="9" max="16384" width="8.83203125" style="3"/>
  </cols>
  <sheetData>
    <row r="1" spans="1:8" ht="34" customHeight="1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</row>
    <row r="2" spans="1:8" ht="34" customHeight="1">
      <c r="A2" s="14" t="s">
        <v>0</v>
      </c>
      <c r="B2" s="14" t="s">
        <v>0</v>
      </c>
      <c r="C2" s="14" t="s">
        <v>0</v>
      </c>
      <c r="D2" s="14" t="s">
        <v>0</v>
      </c>
      <c r="E2" s="14" t="s">
        <v>0</v>
      </c>
      <c r="F2" s="14" t="s">
        <v>0</v>
      </c>
      <c r="G2" s="14" t="s">
        <v>0</v>
      </c>
      <c r="H2" s="14" t="s">
        <v>0</v>
      </c>
    </row>
    <row r="3" spans="1:8">
      <c r="A3" s="16" t="s">
        <v>1</v>
      </c>
      <c r="B3" s="16" t="s">
        <v>1</v>
      </c>
      <c r="C3" s="16" t="s">
        <v>1</v>
      </c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</row>
    <row r="5" spans="1:8" ht="34">
      <c r="A5" s="17" t="s">
        <v>2</v>
      </c>
      <c r="B5" s="8" t="s">
        <v>3</v>
      </c>
      <c r="D5" s="18" t="s">
        <v>4</v>
      </c>
      <c r="E5" s="19" t="s">
        <v>4</v>
      </c>
      <c r="F5" s="19" t="s">
        <v>4</v>
      </c>
      <c r="G5" s="19" t="s">
        <v>4</v>
      </c>
      <c r="H5" s="20" t="s">
        <v>4</v>
      </c>
    </row>
    <row r="6" spans="1:8" ht="34">
      <c r="A6" s="17" t="s">
        <v>5</v>
      </c>
      <c r="B6" s="8" t="s">
        <v>6</v>
      </c>
      <c r="D6" s="21" t="s">
        <v>7</v>
      </c>
      <c r="E6" s="22"/>
      <c r="F6" s="22"/>
      <c r="G6" s="22"/>
      <c r="H6" s="23"/>
    </row>
    <row r="7" spans="1:8" ht="51">
      <c r="A7" s="17" t="s">
        <v>8</v>
      </c>
      <c r="B7" s="8" t="s">
        <v>9</v>
      </c>
      <c r="D7" s="24" t="s">
        <v>10</v>
      </c>
      <c r="E7" s="25"/>
      <c r="F7" s="25"/>
      <c r="G7" s="25"/>
      <c r="H7" s="26"/>
    </row>
    <row r="8" spans="1:8" ht="51">
      <c r="A8" s="17" t="s">
        <v>11</v>
      </c>
      <c r="B8" s="8" t="s">
        <v>12</v>
      </c>
      <c r="D8" s="24" t="s">
        <v>13</v>
      </c>
      <c r="E8" s="25"/>
      <c r="F8" s="25"/>
      <c r="G8" s="25"/>
      <c r="H8" s="26"/>
    </row>
    <row r="9" spans="1:8" ht="17">
      <c r="A9" s="17" t="s">
        <v>14</v>
      </c>
      <c r="B9" s="8" t="s">
        <v>15</v>
      </c>
      <c r="D9" s="24" t="s">
        <v>16</v>
      </c>
      <c r="E9" s="25"/>
      <c r="F9" s="25"/>
      <c r="G9" s="25"/>
      <c r="H9" s="26"/>
    </row>
    <row r="10" spans="1:8" ht="17">
      <c r="A10" s="17" t="s">
        <v>17</v>
      </c>
      <c r="B10" s="8" t="s">
        <v>18</v>
      </c>
      <c r="D10" s="24" t="s">
        <v>19</v>
      </c>
      <c r="E10" s="25"/>
      <c r="F10" s="25"/>
      <c r="G10" s="25"/>
      <c r="H10" s="26"/>
    </row>
    <row r="11" spans="1:8" ht="17">
      <c r="A11" s="17" t="s">
        <v>20</v>
      </c>
      <c r="B11" s="8" t="s">
        <v>290</v>
      </c>
      <c r="D11" s="27" t="s">
        <v>21</v>
      </c>
      <c r="E11" s="28"/>
      <c r="F11" s="28"/>
      <c r="G11" s="28"/>
      <c r="H11" s="29"/>
    </row>
    <row r="12" spans="1:8" ht="51">
      <c r="A12" s="17" t="s">
        <v>22</v>
      </c>
      <c r="B12" s="8" t="s">
        <v>23</v>
      </c>
    </row>
    <row r="13" spans="1:8" ht="34">
      <c r="A13" s="17" t="s">
        <v>24</v>
      </c>
      <c r="B13" s="8" t="s">
        <v>25</v>
      </c>
    </row>
  </sheetData>
  <mergeCells count="9">
    <mergeCell ref="D8:H8"/>
    <mergeCell ref="D9:H9"/>
    <mergeCell ref="D10:H10"/>
    <mergeCell ref="D11:H11"/>
    <mergeCell ref="A1:H2"/>
    <mergeCell ref="A3:H3"/>
    <mergeCell ref="D5:H5"/>
    <mergeCell ref="D6:H6"/>
    <mergeCell ref="D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"/>
  <sheetViews>
    <sheetView showGridLines="0" workbookViewId="0">
      <selection sqref="A1:U2"/>
    </sheetView>
  </sheetViews>
  <sheetFormatPr baseColWidth="10" defaultColWidth="8.83203125" defaultRowHeight="15"/>
  <cols>
    <col min="1" max="1" width="15" customWidth="1"/>
    <col min="2" max="2" width="38" customWidth="1"/>
    <col min="3" max="4" width="13" customWidth="1"/>
    <col min="5" max="5" width="20" customWidth="1"/>
    <col min="6" max="6" width="24" customWidth="1"/>
    <col min="7" max="20" width="9" customWidth="1"/>
    <col min="21" max="21" width="13" customWidth="1"/>
  </cols>
  <sheetData>
    <row r="1" spans="1:21" ht="34" customHeight="1">
      <c r="A1" s="14" t="s">
        <v>26</v>
      </c>
      <c r="B1" s="14" t="s">
        <v>26</v>
      </c>
      <c r="C1" s="14" t="s">
        <v>26</v>
      </c>
      <c r="D1" s="14" t="s">
        <v>26</v>
      </c>
      <c r="E1" s="14" t="s">
        <v>26</v>
      </c>
      <c r="F1" s="14" t="s">
        <v>26</v>
      </c>
      <c r="G1" s="14" t="s">
        <v>26</v>
      </c>
      <c r="H1" s="14" t="s">
        <v>26</v>
      </c>
      <c r="I1" s="14" t="s">
        <v>26</v>
      </c>
      <c r="J1" s="14" t="s">
        <v>26</v>
      </c>
      <c r="K1" s="14" t="s">
        <v>26</v>
      </c>
      <c r="L1" s="14" t="s">
        <v>26</v>
      </c>
      <c r="M1" s="14" t="s">
        <v>26</v>
      </c>
      <c r="N1" s="14" t="s">
        <v>26</v>
      </c>
      <c r="O1" s="14" t="s">
        <v>26</v>
      </c>
      <c r="P1" s="14" t="s">
        <v>26</v>
      </c>
      <c r="Q1" s="14" t="s">
        <v>26</v>
      </c>
      <c r="R1" s="14" t="s">
        <v>26</v>
      </c>
      <c r="S1" s="14" t="s">
        <v>26</v>
      </c>
      <c r="T1" s="14" t="s">
        <v>26</v>
      </c>
      <c r="U1" s="14" t="s">
        <v>26</v>
      </c>
    </row>
    <row r="2" spans="1:21" ht="34" customHeight="1">
      <c r="A2" s="14" t="s">
        <v>26</v>
      </c>
      <c r="B2" s="14" t="s">
        <v>26</v>
      </c>
      <c r="C2" s="14" t="s">
        <v>26</v>
      </c>
      <c r="D2" s="14" t="s">
        <v>26</v>
      </c>
      <c r="E2" s="14" t="s">
        <v>26</v>
      </c>
      <c r="F2" s="14" t="s">
        <v>26</v>
      </c>
      <c r="G2" s="14" t="s">
        <v>26</v>
      </c>
      <c r="H2" s="14" t="s">
        <v>26</v>
      </c>
      <c r="I2" s="14" t="s">
        <v>26</v>
      </c>
      <c r="J2" s="14" t="s">
        <v>26</v>
      </c>
      <c r="K2" s="14" t="s">
        <v>26</v>
      </c>
      <c r="L2" s="14" t="s">
        <v>26</v>
      </c>
      <c r="M2" s="14" t="s">
        <v>26</v>
      </c>
      <c r="N2" s="14" t="s">
        <v>26</v>
      </c>
      <c r="O2" s="14" t="s">
        <v>26</v>
      </c>
      <c r="P2" s="14" t="s">
        <v>26</v>
      </c>
      <c r="Q2" s="14" t="s">
        <v>26</v>
      </c>
      <c r="R2" s="14" t="s">
        <v>26</v>
      </c>
      <c r="S2" s="14" t="s">
        <v>26</v>
      </c>
      <c r="T2" s="14" t="s">
        <v>26</v>
      </c>
      <c r="U2" s="14" t="s">
        <v>26</v>
      </c>
    </row>
    <row r="3" spans="1:21" ht="16">
      <c r="A3" s="4" t="s">
        <v>27</v>
      </c>
      <c r="B3" s="4" t="s">
        <v>27</v>
      </c>
      <c r="C3" s="4" t="s">
        <v>27</v>
      </c>
      <c r="D3" s="4" t="s">
        <v>27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  <c r="U3" s="4" t="s">
        <v>27</v>
      </c>
    </row>
    <row r="4" spans="1:21" ht="17">
      <c r="A4" s="5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  <c r="Q4" s="6" t="s">
        <v>44</v>
      </c>
      <c r="R4" s="6" t="s">
        <v>45</v>
      </c>
      <c r="S4" s="6" t="s">
        <v>46</v>
      </c>
      <c r="T4" s="6" t="s">
        <v>47</v>
      </c>
      <c r="U4" s="7" t="s">
        <v>48</v>
      </c>
    </row>
    <row r="5" spans="1:21" ht="16">
      <c r="A5" s="3" t="s">
        <v>49</v>
      </c>
      <c r="B5" s="3" t="s">
        <v>50</v>
      </c>
      <c r="C5" s="15">
        <v>43864</v>
      </c>
      <c r="D5" s="15">
        <v>43889</v>
      </c>
      <c r="E5" s="3" t="s">
        <v>51</v>
      </c>
      <c r="F5" s="3" t="s">
        <v>52</v>
      </c>
      <c r="G5" s="3">
        <f t="shared" ref="G5:T18" si="0">IF(AND($C5&lt;=G$23,$D5&gt;=G$22),1,"")</f>
        <v>1</v>
      </c>
      <c r="H5" s="3" t="str">
        <f t="shared" si="0"/>
        <v/>
      </c>
      <c r="I5" s="3" t="str">
        <f t="shared" si="0"/>
        <v/>
      </c>
      <c r="J5" s="3" t="str">
        <f t="shared" si="0"/>
        <v/>
      </c>
      <c r="K5" s="3" t="str">
        <f t="shared" si="0"/>
        <v/>
      </c>
      <c r="L5" s="3" t="str">
        <f t="shared" si="0"/>
        <v/>
      </c>
      <c r="M5" s="3" t="str">
        <f t="shared" si="0"/>
        <v/>
      </c>
      <c r="N5" s="3" t="str">
        <f t="shared" si="0"/>
        <v/>
      </c>
      <c r="O5" s="3" t="str">
        <f t="shared" si="0"/>
        <v/>
      </c>
      <c r="P5" s="3" t="str">
        <f t="shared" si="0"/>
        <v/>
      </c>
      <c r="Q5" s="3" t="str">
        <f t="shared" si="0"/>
        <v/>
      </c>
      <c r="R5" s="3" t="str">
        <f t="shared" si="0"/>
        <v/>
      </c>
      <c r="S5" s="3" t="str">
        <f t="shared" si="0"/>
        <v/>
      </c>
      <c r="T5" s="3" t="str">
        <f t="shared" si="0"/>
        <v/>
      </c>
      <c r="U5" s="3" t="s">
        <v>53</v>
      </c>
    </row>
    <row r="6" spans="1:21" ht="16">
      <c r="A6" s="3" t="s">
        <v>54</v>
      </c>
      <c r="B6" s="3" t="s">
        <v>55</v>
      </c>
      <c r="C6" s="15">
        <v>43878</v>
      </c>
      <c r="D6" s="15">
        <v>43910</v>
      </c>
      <c r="E6" s="3" t="s">
        <v>51</v>
      </c>
      <c r="F6" s="3" t="s">
        <v>56</v>
      </c>
      <c r="G6" s="3">
        <f t="shared" si="0"/>
        <v>1</v>
      </c>
      <c r="H6" s="3">
        <f t="shared" si="0"/>
        <v>1</v>
      </c>
      <c r="I6" s="3" t="str">
        <f t="shared" si="0"/>
        <v/>
      </c>
      <c r="J6" s="3" t="str">
        <f t="shared" si="0"/>
        <v/>
      </c>
      <c r="K6" s="3" t="str">
        <f t="shared" si="0"/>
        <v/>
      </c>
      <c r="L6" s="3" t="str">
        <f t="shared" si="0"/>
        <v/>
      </c>
      <c r="M6" s="3" t="str">
        <f t="shared" si="0"/>
        <v/>
      </c>
      <c r="N6" s="3" t="str">
        <f t="shared" si="0"/>
        <v/>
      </c>
      <c r="O6" s="3" t="str">
        <f t="shared" si="0"/>
        <v/>
      </c>
      <c r="P6" s="3" t="str">
        <f t="shared" si="0"/>
        <v/>
      </c>
      <c r="Q6" s="3" t="str">
        <f t="shared" si="0"/>
        <v/>
      </c>
      <c r="R6" s="3" t="str">
        <f t="shared" si="0"/>
        <v/>
      </c>
      <c r="S6" s="3" t="str">
        <f t="shared" si="0"/>
        <v/>
      </c>
      <c r="T6" s="3" t="str">
        <f t="shared" si="0"/>
        <v/>
      </c>
      <c r="U6" s="3" t="s">
        <v>53</v>
      </c>
    </row>
    <row r="7" spans="1:21" ht="16">
      <c r="A7" s="3" t="s">
        <v>57</v>
      </c>
      <c r="B7" s="3" t="s">
        <v>58</v>
      </c>
      <c r="C7" s="15">
        <v>43906</v>
      </c>
      <c r="D7" s="15">
        <v>43951</v>
      </c>
      <c r="E7" s="3" t="s">
        <v>59</v>
      </c>
      <c r="F7" s="3" t="s">
        <v>60</v>
      </c>
      <c r="G7" s="3" t="str">
        <f t="shared" si="0"/>
        <v/>
      </c>
      <c r="H7" s="3">
        <f t="shared" si="0"/>
        <v>1</v>
      </c>
      <c r="I7" s="3">
        <f t="shared" si="0"/>
        <v>1</v>
      </c>
      <c r="J7" s="3" t="str">
        <f t="shared" si="0"/>
        <v/>
      </c>
      <c r="K7" s="3" t="str">
        <f t="shared" si="0"/>
        <v/>
      </c>
      <c r="L7" s="3" t="str">
        <f t="shared" si="0"/>
        <v/>
      </c>
      <c r="M7" s="3" t="str">
        <f t="shared" si="0"/>
        <v/>
      </c>
      <c r="N7" s="3" t="str">
        <f t="shared" si="0"/>
        <v/>
      </c>
      <c r="O7" s="3" t="str">
        <f t="shared" si="0"/>
        <v/>
      </c>
      <c r="P7" s="3" t="str">
        <f t="shared" si="0"/>
        <v/>
      </c>
      <c r="Q7" s="3" t="str">
        <f t="shared" si="0"/>
        <v/>
      </c>
      <c r="R7" s="3" t="str">
        <f t="shared" si="0"/>
        <v/>
      </c>
      <c r="S7" s="3" t="str">
        <f t="shared" si="0"/>
        <v/>
      </c>
      <c r="T7" s="3" t="str">
        <f t="shared" si="0"/>
        <v/>
      </c>
      <c r="U7" s="3" t="s">
        <v>53</v>
      </c>
    </row>
    <row r="8" spans="1:21" ht="16">
      <c r="A8" s="3" t="s">
        <v>61</v>
      </c>
      <c r="B8" s="3" t="s">
        <v>62</v>
      </c>
      <c r="C8" s="15">
        <v>43955</v>
      </c>
      <c r="D8" s="15">
        <v>44008</v>
      </c>
      <c r="E8" s="3" t="s">
        <v>63</v>
      </c>
      <c r="F8" s="3" t="s">
        <v>64</v>
      </c>
      <c r="G8" s="3" t="str">
        <f t="shared" si="0"/>
        <v/>
      </c>
      <c r="H8" s="3" t="str">
        <f t="shared" si="0"/>
        <v/>
      </c>
      <c r="I8" s="3" t="str">
        <f t="shared" si="0"/>
        <v/>
      </c>
      <c r="J8" s="3">
        <f t="shared" si="0"/>
        <v>1</v>
      </c>
      <c r="K8" s="3">
        <f t="shared" si="0"/>
        <v>1</v>
      </c>
      <c r="L8" s="3" t="str">
        <f t="shared" si="0"/>
        <v/>
      </c>
      <c r="M8" s="3" t="str">
        <f t="shared" si="0"/>
        <v/>
      </c>
      <c r="N8" s="3" t="str">
        <f t="shared" si="0"/>
        <v/>
      </c>
      <c r="O8" s="3" t="str">
        <f t="shared" si="0"/>
        <v/>
      </c>
      <c r="P8" s="3" t="str">
        <f t="shared" si="0"/>
        <v/>
      </c>
      <c r="Q8" s="3" t="str">
        <f t="shared" si="0"/>
        <v/>
      </c>
      <c r="R8" s="3" t="str">
        <f t="shared" si="0"/>
        <v/>
      </c>
      <c r="S8" s="3" t="str">
        <f t="shared" si="0"/>
        <v/>
      </c>
      <c r="T8" s="3" t="str">
        <f t="shared" si="0"/>
        <v/>
      </c>
      <c r="U8" s="3" t="s">
        <v>53</v>
      </c>
    </row>
    <row r="9" spans="1:21" ht="16">
      <c r="A9" s="3" t="s">
        <v>65</v>
      </c>
      <c r="B9" s="3" t="s">
        <v>66</v>
      </c>
      <c r="C9" s="15">
        <v>43997</v>
      </c>
      <c r="D9" s="15">
        <v>44050</v>
      </c>
      <c r="E9" s="3" t="s">
        <v>51</v>
      </c>
      <c r="F9" s="3" t="s">
        <v>67</v>
      </c>
      <c r="G9" s="3" t="str">
        <f t="shared" si="0"/>
        <v/>
      </c>
      <c r="H9" s="3" t="str">
        <f t="shared" si="0"/>
        <v/>
      </c>
      <c r="I9" s="3" t="str">
        <f t="shared" si="0"/>
        <v/>
      </c>
      <c r="J9" s="3" t="str">
        <f t="shared" si="0"/>
        <v/>
      </c>
      <c r="K9" s="3">
        <f t="shared" si="0"/>
        <v>1</v>
      </c>
      <c r="L9" s="3">
        <f t="shared" si="0"/>
        <v>1</v>
      </c>
      <c r="M9" s="3">
        <f t="shared" si="0"/>
        <v>1</v>
      </c>
      <c r="N9" s="3" t="str">
        <f t="shared" si="0"/>
        <v/>
      </c>
      <c r="O9" s="3" t="str">
        <f t="shared" si="0"/>
        <v/>
      </c>
      <c r="P9" s="3" t="str">
        <f t="shared" si="0"/>
        <v/>
      </c>
      <c r="Q9" s="3" t="str">
        <f t="shared" si="0"/>
        <v/>
      </c>
      <c r="R9" s="3" t="str">
        <f t="shared" si="0"/>
        <v/>
      </c>
      <c r="S9" s="3" t="str">
        <f t="shared" si="0"/>
        <v/>
      </c>
      <c r="T9" s="3" t="str">
        <f t="shared" si="0"/>
        <v/>
      </c>
      <c r="U9" s="3" t="s">
        <v>53</v>
      </c>
    </row>
    <row r="10" spans="1:21" ht="16">
      <c r="A10" s="3" t="s">
        <v>68</v>
      </c>
      <c r="B10" s="3" t="s">
        <v>69</v>
      </c>
      <c r="C10" s="15">
        <v>44046</v>
      </c>
      <c r="D10" s="15">
        <v>44120</v>
      </c>
      <c r="E10" s="3" t="s">
        <v>70</v>
      </c>
      <c r="F10" s="3" t="s">
        <v>71</v>
      </c>
      <c r="G10" s="3" t="str">
        <f t="shared" si="0"/>
        <v/>
      </c>
      <c r="H10" s="3" t="str">
        <f t="shared" si="0"/>
        <v/>
      </c>
      <c r="I10" s="3" t="str">
        <f t="shared" si="0"/>
        <v/>
      </c>
      <c r="J10" s="3" t="str">
        <f t="shared" si="0"/>
        <v/>
      </c>
      <c r="K10" s="3" t="str">
        <f t="shared" si="0"/>
        <v/>
      </c>
      <c r="L10" s="3" t="str">
        <f t="shared" si="0"/>
        <v/>
      </c>
      <c r="M10" s="3">
        <f t="shared" si="0"/>
        <v>1</v>
      </c>
      <c r="N10" s="3">
        <f t="shared" si="0"/>
        <v>1</v>
      </c>
      <c r="O10" s="3">
        <f t="shared" si="0"/>
        <v>1</v>
      </c>
      <c r="P10" s="3" t="str">
        <f t="shared" si="0"/>
        <v/>
      </c>
      <c r="Q10" s="3" t="str">
        <f t="shared" si="0"/>
        <v/>
      </c>
      <c r="R10" s="3" t="str">
        <f t="shared" si="0"/>
        <v/>
      </c>
      <c r="S10" s="3" t="str">
        <f t="shared" si="0"/>
        <v/>
      </c>
      <c r="T10" s="3" t="str">
        <f t="shared" si="0"/>
        <v/>
      </c>
      <c r="U10" s="3" t="s">
        <v>53</v>
      </c>
    </row>
    <row r="11" spans="1:21" ht="16">
      <c r="A11" s="3" t="s">
        <v>72</v>
      </c>
      <c r="B11" s="3" t="s">
        <v>73</v>
      </c>
      <c r="C11" s="15">
        <v>44075</v>
      </c>
      <c r="D11" s="15">
        <v>44148</v>
      </c>
      <c r="E11" s="3" t="s">
        <v>74</v>
      </c>
      <c r="F11" s="3" t="s">
        <v>75</v>
      </c>
      <c r="G11" s="3" t="str">
        <f t="shared" si="0"/>
        <v/>
      </c>
      <c r="H11" s="3" t="str">
        <f t="shared" si="0"/>
        <v/>
      </c>
      <c r="I11" s="3" t="str">
        <f t="shared" si="0"/>
        <v/>
      </c>
      <c r="J11" s="3" t="str">
        <f t="shared" si="0"/>
        <v/>
      </c>
      <c r="K11" s="3" t="str">
        <f t="shared" si="0"/>
        <v/>
      </c>
      <c r="L11" s="3" t="str">
        <f t="shared" si="0"/>
        <v/>
      </c>
      <c r="M11" s="3" t="str">
        <f t="shared" si="0"/>
        <v/>
      </c>
      <c r="N11" s="3">
        <f t="shared" si="0"/>
        <v>1</v>
      </c>
      <c r="O11" s="3">
        <f t="shared" si="0"/>
        <v>1</v>
      </c>
      <c r="P11" s="3">
        <f t="shared" si="0"/>
        <v>1</v>
      </c>
      <c r="Q11" s="3" t="str">
        <f t="shared" si="0"/>
        <v/>
      </c>
      <c r="R11" s="3" t="str">
        <f t="shared" si="0"/>
        <v/>
      </c>
      <c r="S11" s="3" t="str">
        <f t="shared" si="0"/>
        <v/>
      </c>
      <c r="T11" s="3" t="str">
        <f t="shared" si="0"/>
        <v/>
      </c>
      <c r="U11" s="3" t="s">
        <v>53</v>
      </c>
    </row>
    <row r="12" spans="1:21" ht="16">
      <c r="A12" s="3" t="s">
        <v>76</v>
      </c>
      <c r="B12" s="3" t="s">
        <v>77</v>
      </c>
      <c r="C12" s="15">
        <v>44137</v>
      </c>
      <c r="D12" s="15">
        <v>44183</v>
      </c>
      <c r="E12" s="3" t="s">
        <v>51</v>
      </c>
      <c r="F12" s="3" t="s">
        <v>78</v>
      </c>
      <c r="G12" s="3" t="str">
        <f t="shared" si="0"/>
        <v/>
      </c>
      <c r="H12" s="3" t="str">
        <f t="shared" si="0"/>
        <v/>
      </c>
      <c r="I12" s="3" t="str">
        <f t="shared" si="0"/>
        <v/>
      </c>
      <c r="J12" s="3" t="str">
        <f t="shared" si="0"/>
        <v/>
      </c>
      <c r="K12" s="3" t="str">
        <f t="shared" si="0"/>
        <v/>
      </c>
      <c r="L12" s="3" t="str">
        <f t="shared" si="0"/>
        <v/>
      </c>
      <c r="M12" s="3" t="str">
        <f t="shared" si="0"/>
        <v/>
      </c>
      <c r="N12" s="3" t="str">
        <f t="shared" si="0"/>
        <v/>
      </c>
      <c r="O12" s="3" t="str">
        <f t="shared" si="0"/>
        <v/>
      </c>
      <c r="P12" s="3">
        <f t="shared" si="0"/>
        <v>1</v>
      </c>
      <c r="Q12" s="3">
        <f t="shared" si="0"/>
        <v>1</v>
      </c>
      <c r="R12" s="3" t="str">
        <f t="shared" si="0"/>
        <v/>
      </c>
      <c r="S12" s="3" t="str">
        <f t="shared" si="0"/>
        <v/>
      </c>
      <c r="T12" s="3" t="str">
        <f t="shared" si="0"/>
        <v/>
      </c>
      <c r="U12" s="3" t="s">
        <v>53</v>
      </c>
    </row>
    <row r="13" spans="1:21" ht="16">
      <c r="A13" s="3" t="s">
        <v>79</v>
      </c>
      <c r="B13" s="3" t="s">
        <v>80</v>
      </c>
      <c r="C13" s="15">
        <v>44166</v>
      </c>
      <c r="D13" s="15">
        <v>44225</v>
      </c>
      <c r="E13" s="3" t="s">
        <v>81</v>
      </c>
      <c r="F13" s="3" t="s">
        <v>82</v>
      </c>
      <c r="G13" s="3" t="str">
        <f t="shared" si="0"/>
        <v/>
      </c>
      <c r="H13" s="3" t="str">
        <f t="shared" si="0"/>
        <v/>
      </c>
      <c r="I13" s="3" t="str">
        <f t="shared" si="0"/>
        <v/>
      </c>
      <c r="J13" s="3" t="str">
        <f t="shared" si="0"/>
        <v/>
      </c>
      <c r="K13" s="3" t="str">
        <f t="shared" si="0"/>
        <v/>
      </c>
      <c r="L13" s="3" t="str">
        <f t="shared" si="0"/>
        <v/>
      </c>
      <c r="M13" s="3" t="str">
        <f t="shared" si="0"/>
        <v/>
      </c>
      <c r="N13" s="3" t="str">
        <f t="shared" si="0"/>
        <v/>
      </c>
      <c r="O13" s="3" t="str">
        <f t="shared" si="0"/>
        <v/>
      </c>
      <c r="P13" s="3" t="str">
        <f t="shared" si="0"/>
        <v/>
      </c>
      <c r="Q13" s="3">
        <f t="shared" si="0"/>
        <v>1</v>
      </c>
      <c r="R13" s="3">
        <f t="shared" si="0"/>
        <v>1</v>
      </c>
      <c r="S13" s="3" t="str">
        <f t="shared" si="0"/>
        <v/>
      </c>
      <c r="T13" s="3" t="str">
        <f t="shared" si="0"/>
        <v/>
      </c>
      <c r="U13" s="3" t="s">
        <v>53</v>
      </c>
    </row>
    <row r="14" spans="1:21" ht="16">
      <c r="A14" s="3" t="s">
        <v>83</v>
      </c>
      <c r="B14" s="3" t="s">
        <v>84</v>
      </c>
      <c r="C14" s="15">
        <v>44200</v>
      </c>
      <c r="D14" s="15">
        <v>44253</v>
      </c>
      <c r="E14" s="3" t="s">
        <v>85</v>
      </c>
      <c r="F14" s="3" t="s">
        <v>86</v>
      </c>
      <c r="G14" s="3" t="str">
        <f t="shared" si="0"/>
        <v/>
      </c>
      <c r="H14" s="3" t="str">
        <f t="shared" si="0"/>
        <v/>
      </c>
      <c r="I14" s="3" t="str">
        <f t="shared" si="0"/>
        <v/>
      </c>
      <c r="J14" s="3" t="str">
        <f t="shared" si="0"/>
        <v/>
      </c>
      <c r="K14" s="3" t="str">
        <f t="shared" si="0"/>
        <v/>
      </c>
      <c r="L14" s="3" t="str">
        <f t="shared" si="0"/>
        <v/>
      </c>
      <c r="M14" s="3" t="str">
        <f t="shared" si="0"/>
        <v/>
      </c>
      <c r="N14" s="3" t="str">
        <f t="shared" si="0"/>
        <v/>
      </c>
      <c r="O14" s="3" t="str">
        <f t="shared" si="0"/>
        <v/>
      </c>
      <c r="P14" s="3" t="str">
        <f t="shared" si="0"/>
        <v/>
      </c>
      <c r="Q14" s="3" t="str">
        <f t="shared" si="0"/>
        <v/>
      </c>
      <c r="R14" s="3">
        <f t="shared" si="0"/>
        <v>1</v>
      </c>
      <c r="S14" s="3">
        <f t="shared" si="0"/>
        <v>1</v>
      </c>
      <c r="T14" s="3" t="str">
        <f t="shared" si="0"/>
        <v/>
      </c>
      <c r="U14" s="3" t="s">
        <v>53</v>
      </c>
    </row>
    <row r="15" spans="1:21" ht="16">
      <c r="A15" s="3" t="s">
        <v>87</v>
      </c>
      <c r="B15" s="3" t="s">
        <v>88</v>
      </c>
      <c r="C15" s="15">
        <v>44228</v>
      </c>
      <c r="D15" s="15">
        <v>44260</v>
      </c>
      <c r="E15" s="3" t="s">
        <v>51</v>
      </c>
      <c r="F15" s="3" t="s">
        <v>89</v>
      </c>
      <c r="G15" s="3" t="str">
        <f t="shared" si="0"/>
        <v/>
      </c>
      <c r="H15" s="3" t="str">
        <f t="shared" si="0"/>
        <v/>
      </c>
      <c r="I15" s="3" t="str">
        <f t="shared" si="0"/>
        <v/>
      </c>
      <c r="J15" s="3" t="str">
        <f t="shared" si="0"/>
        <v/>
      </c>
      <c r="K15" s="3" t="str">
        <f t="shared" si="0"/>
        <v/>
      </c>
      <c r="L15" s="3" t="str">
        <f t="shared" si="0"/>
        <v/>
      </c>
      <c r="M15" s="3" t="str">
        <f t="shared" si="0"/>
        <v/>
      </c>
      <c r="N15" s="3" t="str">
        <f t="shared" si="0"/>
        <v/>
      </c>
      <c r="O15" s="3" t="str">
        <f t="shared" si="0"/>
        <v/>
      </c>
      <c r="P15" s="3" t="str">
        <f t="shared" si="0"/>
        <v/>
      </c>
      <c r="Q15" s="3" t="str">
        <f t="shared" si="0"/>
        <v/>
      </c>
      <c r="R15" s="3" t="str">
        <f t="shared" si="0"/>
        <v/>
      </c>
      <c r="S15" s="3">
        <f t="shared" si="0"/>
        <v>1</v>
      </c>
      <c r="T15" s="3">
        <f t="shared" si="0"/>
        <v>1</v>
      </c>
      <c r="U15" s="3" t="s">
        <v>53</v>
      </c>
    </row>
    <row r="16" spans="1:21" ht="16">
      <c r="A16" s="3" t="s">
        <v>90</v>
      </c>
      <c r="B16" s="3" t="s">
        <v>91</v>
      </c>
      <c r="C16" s="15">
        <v>44242</v>
      </c>
      <c r="D16" s="15">
        <v>44260</v>
      </c>
      <c r="E16" s="3" t="s">
        <v>59</v>
      </c>
      <c r="F16" s="3" t="s">
        <v>92</v>
      </c>
      <c r="G16" s="3" t="str">
        <f t="shared" si="0"/>
        <v/>
      </c>
      <c r="H16" s="3" t="str">
        <f t="shared" si="0"/>
        <v/>
      </c>
      <c r="I16" s="3" t="str">
        <f t="shared" si="0"/>
        <v/>
      </c>
      <c r="J16" s="3" t="str">
        <f t="shared" si="0"/>
        <v/>
      </c>
      <c r="K16" s="3" t="str">
        <f t="shared" si="0"/>
        <v/>
      </c>
      <c r="L16" s="3" t="str">
        <f t="shared" si="0"/>
        <v/>
      </c>
      <c r="M16" s="3" t="str">
        <f t="shared" si="0"/>
        <v/>
      </c>
      <c r="N16" s="3" t="str">
        <f t="shared" si="0"/>
        <v/>
      </c>
      <c r="O16" s="3" t="str">
        <f t="shared" si="0"/>
        <v/>
      </c>
      <c r="P16" s="3" t="str">
        <f t="shared" si="0"/>
        <v/>
      </c>
      <c r="Q16" s="3" t="str">
        <f t="shared" si="0"/>
        <v/>
      </c>
      <c r="R16" s="3" t="str">
        <f t="shared" si="0"/>
        <v/>
      </c>
      <c r="S16" s="3">
        <f t="shared" si="0"/>
        <v>1</v>
      </c>
      <c r="T16" s="3">
        <f t="shared" si="0"/>
        <v>1</v>
      </c>
      <c r="U16" s="3" t="s">
        <v>53</v>
      </c>
    </row>
    <row r="17" spans="1:21" ht="16">
      <c r="A17" s="3" t="s">
        <v>22</v>
      </c>
      <c r="B17" s="3" t="s">
        <v>93</v>
      </c>
      <c r="C17" s="15">
        <v>44263</v>
      </c>
      <c r="D17" s="15">
        <v>44267</v>
      </c>
      <c r="E17" s="3" t="s">
        <v>94</v>
      </c>
      <c r="F17" s="3" t="s">
        <v>95</v>
      </c>
      <c r="G17" s="3" t="str">
        <f t="shared" si="0"/>
        <v/>
      </c>
      <c r="H17" s="3" t="str">
        <f t="shared" si="0"/>
        <v/>
      </c>
      <c r="I17" s="3" t="str">
        <f t="shared" si="0"/>
        <v/>
      </c>
      <c r="J17" s="3" t="str">
        <f t="shared" si="0"/>
        <v/>
      </c>
      <c r="K17" s="3" t="str">
        <f t="shared" si="0"/>
        <v/>
      </c>
      <c r="L17" s="3" t="str">
        <f t="shared" si="0"/>
        <v/>
      </c>
      <c r="M17" s="3" t="str">
        <f t="shared" si="0"/>
        <v/>
      </c>
      <c r="N17" s="3" t="str">
        <f t="shared" si="0"/>
        <v/>
      </c>
      <c r="O17" s="3" t="str">
        <f t="shared" si="0"/>
        <v/>
      </c>
      <c r="P17" s="3" t="str">
        <f t="shared" si="0"/>
        <v/>
      </c>
      <c r="Q17" s="3" t="str">
        <f t="shared" si="0"/>
        <v/>
      </c>
      <c r="R17" s="3" t="str">
        <f t="shared" si="0"/>
        <v/>
      </c>
      <c r="S17" s="3" t="str">
        <f t="shared" si="0"/>
        <v/>
      </c>
      <c r="T17" s="3">
        <f t="shared" si="0"/>
        <v>1</v>
      </c>
      <c r="U17" s="3" t="s">
        <v>53</v>
      </c>
    </row>
    <row r="18" spans="1:21" ht="16">
      <c r="A18" s="3" t="s">
        <v>96</v>
      </c>
      <c r="B18" s="3" t="s">
        <v>97</v>
      </c>
      <c r="C18" s="15">
        <v>44270</v>
      </c>
      <c r="D18" s="15">
        <v>44286</v>
      </c>
      <c r="E18" s="3" t="s">
        <v>98</v>
      </c>
      <c r="F18" s="3" t="s">
        <v>99</v>
      </c>
      <c r="G18" s="3" t="str">
        <f t="shared" si="0"/>
        <v/>
      </c>
      <c r="H18" s="3" t="str">
        <f t="shared" si="0"/>
        <v/>
      </c>
      <c r="I18" s="3" t="str">
        <f t="shared" si="0"/>
        <v/>
      </c>
      <c r="J18" s="3" t="str">
        <f t="shared" si="0"/>
        <v/>
      </c>
      <c r="K18" s="3" t="str">
        <f t="shared" si="0"/>
        <v/>
      </c>
      <c r="L18" s="3" t="str">
        <f t="shared" si="0"/>
        <v/>
      </c>
      <c r="M18" s="3" t="str">
        <f t="shared" si="0"/>
        <v/>
      </c>
      <c r="N18" s="3" t="str">
        <f t="shared" si="0"/>
        <v/>
      </c>
      <c r="O18" s="3" t="str">
        <f t="shared" si="0"/>
        <v/>
      </c>
      <c r="P18" s="3" t="str">
        <f t="shared" si="0"/>
        <v/>
      </c>
      <c r="Q18" s="3" t="str">
        <f t="shared" si="0"/>
        <v/>
      </c>
      <c r="R18" s="3" t="str">
        <f t="shared" si="0"/>
        <v/>
      </c>
      <c r="S18" s="3" t="str">
        <f t="shared" si="0"/>
        <v/>
      </c>
      <c r="T18" s="3">
        <f t="shared" si="0"/>
        <v>1</v>
      </c>
      <c r="U18" s="3" t="s">
        <v>53</v>
      </c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" customHeight="1">
      <c r="A22" s="1"/>
      <c r="B22" s="1"/>
      <c r="C22" s="1"/>
      <c r="D22" s="1"/>
      <c r="E22" s="1"/>
      <c r="F22" s="1"/>
      <c r="G22" s="2">
        <v>43862</v>
      </c>
      <c r="H22" s="2">
        <v>43891</v>
      </c>
      <c r="I22" s="2">
        <v>43922</v>
      </c>
      <c r="J22" s="2">
        <v>43952</v>
      </c>
      <c r="K22" s="2">
        <v>43983</v>
      </c>
      <c r="L22" s="2">
        <v>44013</v>
      </c>
      <c r="M22" s="2">
        <v>44044</v>
      </c>
      <c r="N22" s="2">
        <v>44075</v>
      </c>
      <c r="O22" s="2">
        <v>44105</v>
      </c>
      <c r="P22" s="2">
        <v>44136</v>
      </c>
      <c r="Q22" s="2">
        <v>44166</v>
      </c>
      <c r="R22" s="2">
        <v>44197</v>
      </c>
      <c r="S22" s="2">
        <v>44228</v>
      </c>
      <c r="T22" s="2">
        <v>44256</v>
      </c>
      <c r="U22" s="1"/>
    </row>
    <row r="23" spans="1:21" ht="2" customHeight="1">
      <c r="A23" s="1"/>
      <c r="B23" s="1"/>
      <c r="C23" s="1"/>
      <c r="D23" s="1"/>
      <c r="E23" s="1"/>
      <c r="F23" s="1"/>
      <c r="G23" s="2">
        <v>43890</v>
      </c>
      <c r="H23" s="2">
        <v>43921</v>
      </c>
      <c r="I23" s="2">
        <v>43951</v>
      </c>
      <c r="J23" s="2">
        <v>43982</v>
      </c>
      <c r="K23" s="2">
        <v>44012</v>
      </c>
      <c r="L23" s="2">
        <v>44043</v>
      </c>
      <c r="M23" s="2">
        <v>44074</v>
      </c>
      <c r="N23" s="2">
        <v>44104</v>
      </c>
      <c r="O23" s="2">
        <v>44135</v>
      </c>
      <c r="P23" s="2">
        <v>44165</v>
      </c>
      <c r="Q23" s="2">
        <v>44196</v>
      </c>
      <c r="R23" s="2">
        <v>44227</v>
      </c>
      <c r="S23" s="2">
        <v>44255</v>
      </c>
      <c r="T23" s="2">
        <v>44286</v>
      </c>
      <c r="U23" s="1"/>
    </row>
  </sheetData>
  <mergeCells count="2">
    <mergeCell ref="A1:U2"/>
    <mergeCell ref="A3:U3"/>
  </mergeCells>
  <conditionalFormatting sqref="G5:T18">
    <cfRule type="cellIs" dxfId="12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workbookViewId="0">
      <selection sqref="A1:H2"/>
    </sheetView>
  </sheetViews>
  <sheetFormatPr baseColWidth="10" defaultColWidth="8.83203125" defaultRowHeight="16"/>
  <cols>
    <col min="1" max="1" width="28" style="3" customWidth="1"/>
    <col min="2" max="7" width="16" style="3" customWidth="1"/>
    <col min="8" max="8" width="42" style="3" customWidth="1"/>
    <col min="9" max="16384" width="8.83203125" style="3"/>
  </cols>
  <sheetData>
    <row r="1" spans="1:8" ht="34" customHeight="1">
      <c r="A1" s="14" t="s">
        <v>100</v>
      </c>
      <c r="B1" s="14" t="s">
        <v>100</v>
      </c>
      <c r="C1" s="14" t="s">
        <v>100</v>
      </c>
      <c r="D1" s="14" t="s">
        <v>100</v>
      </c>
      <c r="E1" s="14" t="s">
        <v>100</v>
      </c>
      <c r="F1" s="14" t="s">
        <v>100</v>
      </c>
      <c r="G1" s="14" t="s">
        <v>100</v>
      </c>
      <c r="H1" s="14" t="s">
        <v>100</v>
      </c>
    </row>
    <row r="2" spans="1:8" ht="34" customHeight="1">
      <c r="A2" s="14" t="s">
        <v>100</v>
      </c>
      <c r="B2" s="14" t="s">
        <v>100</v>
      </c>
      <c r="C2" s="14" t="s">
        <v>100</v>
      </c>
      <c r="D2" s="14" t="s">
        <v>100</v>
      </c>
      <c r="E2" s="14" t="s">
        <v>100</v>
      </c>
      <c r="F2" s="14" t="s">
        <v>100</v>
      </c>
      <c r="G2" s="14" t="s">
        <v>100</v>
      </c>
      <c r="H2" s="14" t="s">
        <v>100</v>
      </c>
    </row>
    <row r="3" spans="1:8">
      <c r="A3" s="4" t="s">
        <v>291</v>
      </c>
      <c r="B3" s="4" t="s">
        <v>101</v>
      </c>
      <c r="C3" s="4" t="s">
        <v>101</v>
      </c>
      <c r="D3" s="4" t="s">
        <v>101</v>
      </c>
      <c r="E3" s="4" t="s">
        <v>101</v>
      </c>
      <c r="F3" s="4" t="s">
        <v>101</v>
      </c>
      <c r="G3" s="4" t="s">
        <v>101</v>
      </c>
      <c r="H3" s="4" t="s">
        <v>101</v>
      </c>
    </row>
    <row r="5" spans="1:8" ht="34">
      <c r="A5" s="5" t="s">
        <v>102</v>
      </c>
      <c r="B5" s="6" t="s">
        <v>14</v>
      </c>
      <c r="C5" s="6" t="s">
        <v>17</v>
      </c>
      <c r="D5" s="6" t="s">
        <v>20</v>
      </c>
      <c r="E5" s="6" t="s">
        <v>103</v>
      </c>
      <c r="F5" s="6" t="s">
        <v>104</v>
      </c>
      <c r="G5" s="6" t="s">
        <v>105</v>
      </c>
      <c r="H5" s="7" t="s">
        <v>106</v>
      </c>
    </row>
    <row r="6" spans="1:8" ht="17">
      <c r="A6" s="8" t="s">
        <v>107</v>
      </c>
      <c r="B6" s="9">
        <v>56</v>
      </c>
      <c r="C6" s="9">
        <v>66</v>
      </c>
      <c r="D6" s="9">
        <v>67.8</v>
      </c>
      <c r="E6" s="9">
        <f t="shared" ref="E6:E14" si="0">C6-B6</f>
        <v>10</v>
      </c>
      <c r="F6" s="9">
        <f t="shared" ref="F6:F14" si="1">C6-D6</f>
        <v>-1.7999999999999972</v>
      </c>
      <c r="G6" s="10">
        <f t="shared" ref="G6:G14" si="2">D6/C6</f>
        <v>1.0272727272727273</v>
      </c>
      <c r="H6" s="8" t="s">
        <v>108</v>
      </c>
    </row>
    <row r="7" spans="1:8" ht="17">
      <c r="A7" s="8" t="s">
        <v>109</v>
      </c>
      <c r="B7" s="9">
        <v>35</v>
      </c>
      <c r="C7" s="9">
        <v>41.25</v>
      </c>
      <c r="D7" s="9">
        <v>39.799999999999997</v>
      </c>
      <c r="E7" s="9">
        <f t="shared" si="0"/>
        <v>6.25</v>
      </c>
      <c r="F7" s="9">
        <f t="shared" si="1"/>
        <v>1.4500000000000028</v>
      </c>
      <c r="G7" s="10">
        <f t="shared" si="2"/>
        <v>0.96484848484848473</v>
      </c>
      <c r="H7" s="8" t="s">
        <v>110</v>
      </c>
    </row>
    <row r="8" spans="1:8" ht="17">
      <c r="A8" s="8" t="s">
        <v>111</v>
      </c>
      <c r="B8" s="9">
        <v>10</v>
      </c>
      <c r="C8" s="9">
        <v>13.2</v>
      </c>
      <c r="D8" s="9">
        <v>12.7</v>
      </c>
      <c r="E8" s="9">
        <f t="shared" si="0"/>
        <v>3.1999999999999993</v>
      </c>
      <c r="F8" s="9">
        <f t="shared" si="1"/>
        <v>0.5</v>
      </c>
      <c r="G8" s="10">
        <f t="shared" si="2"/>
        <v>0.96212121212121215</v>
      </c>
      <c r="H8" s="8" t="s">
        <v>112</v>
      </c>
    </row>
    <row r="9" spans="1:8" ht="17">
      <c r="A9" s="8" t="s">
        <v>113</v>
      </c>
      <c r="B9" s="9">
        <v>9</v>
      </c>
      <c r="C9" s="9">
        <v>11.55</v>
      </c>
      <c r="D9" s="9">
        <v>11.2</v>
      </c>
      <c r="E9" s="9">
        <f t="shared" si="0"/>
        <v>2.5500000000000007</v>
      </c>
      <c r="F9" s="9">
        <f t="shared" si="1"/>
        <v>0.35000000000000142</v>
      </c>
      <c r="G9" s="10">
        <f t="shared" si="2"/>
        <v>0.96969696969696961</v>
      </c>
      <c r="H9" s="8" t="s">
        <v>114</v>
      </c>
    </row>
    <row r="10" spans="1:8" ht="17">
      <c r="A10" s="8" t="s">
        <v>115</v>
      </c>
      <c r="B10" s="9">
        <v>8</v>
      </c>
      <c r="C10" s="9">
        <v>9.9</v>
      </c>
      <c r="D10" s="9">
        <v>9.5</v>
      </c>
      <c r="E10" s="9">
        <f t="shared" si="0"/>
        <v>1.9000000000000004</v>
      </c>
      <c r="F10" s="9">
        <f t="shared" si="1"/>
        <v>0.40000000000000036</v>
      </c>
      <c r="G10" s="10">
        <f t="shared" si="2"/>
        <v>0.95959595959595956</v>
      </c>
      <c r="H10" s="8" t="s">
        <v>116</v>
      </c>
    </row>
    <row r="11" spans="1:8" ht="17">
      <c r="A11" s="8" t="s">
        <v>117</v>
      </c>
      <c r="B11" s="9">
        <v>2</v>
      </c>
      <c r="C11" s="9">
        <v>8.25</v>
      </c>
      <c r="D11" s="9">
        <v>8.8000000000000007</v>
      </c>
      <c r="E11" s="9">
        <f t="shared" si="0"/>
        <v>6.25</v>
      </c>
      <c r="F11" s="9">
        <f t="shared" si="1"/>
        <v>-0.55000000000000071</v>
      </c>
      <c r="G11" s="10">
        <f t="shared" si="2"/>
        <v>1.0666666666666667</v>
      </c>
      <c r="H11" s="8" t="s">
        <v>118</v>
      </c>
    </row>
    <row r="12" spans="1:8" ht="17">
      <c r="A12" s="8" t="s">
        <v>119</v>
      </c>
      <c r="B12" s="9">
        <v>4</v>
      </c>
      <c r="C12" s="9">
        <v>4.95</v>
      </c>
      <c r="D12" s="9">
        <v>4.8</v>
      </c>
      <c r="E12" s="9">
        <f t="shared" si="0"/>
        <v>0.95000000000000018</v>
      </c>
      <c r="F12" s="9">
        <f t="shared" si="1"/>
        <v>0.15000000000000036</v>
      </c>
      <c r="G12" s="10">
        <f t="shared" si="2"/>
        <v>0.96969696969696961</v>
      </c>
      <c r="H12" s="8" t="s">
        <v>120</v>
      </c>
    </row>
    <row r="13" spans="1:8" ht="17">
      <c r="A13" s="8" t="s">
        <v>121</v>
      </c>
      <c r="B13" s="9">
        <v>8</v>
      </c>
      <c r="C13" s="9">
        <v>9.9</v>
      </c>
      <c r="D13" s="9">
        <v>5.9</v>
      </c>
      <c r="E13" s="9">
        <f t="shared" si="0"/>
        <v>1.9000000000000004</v>
      </c>
      <c r="F13" s="9">
        <f t="shared" si="1"/>
        <v>4</v>
      </c>
      <c r="G13" s="10">
        <f t="shared" si="2"/>
        <v>0.59595959595959602</v>
      </c>
      <c r="H13" s="8" t="s">
        <v>122</v>
      </c>
    </row>
    <row r="14" spans="1:8" ht="17">
      <c r="A14" s="11" t="s">
        <v>123</v>
      </c>
      <c r="B14" s="12">
        <f>SUM(B6:B13)</f>
        <v>132</v>
      </c>
      <c r="C14" s="12">
        <f>SUM(C6:C13)</f>
        <v>165</v>
      </c>
      <c r="D14" s="12">
        <f>SUM(D6:D13)</f>
        <v>160.50000000000003</v>
      </c>
      <c r="E14" s="12">
        <f t="shared" si="0"/>
        <v>33</v>
      </c>
      <c r="F14" s="12">
        <f t="shared" si="1"/>
        <v>4.4999999999999716</v>
      </c>
      <c r="G14" s="13">
        <f t="shared" si="2"/>
        <v>0.97272727272727288</v>
      </c>
      <c r="H14" s="11" t="s">
        <v>124</v>
      </c>
    </row>
  </sheetData>
  <mergeCells count="2">
    <mergeCell ref="A1:H2"/>
    <mergeCell ref="A3:H3"/>
  </mergeCells>
  <conditionalFormatting sqref="F6:F14">
    <cfRule type="cellIs" dxfId="11" priority="1" operator="lessThan">
      <formula>0</formula>
    </cfRule>
    <cfRule type="cellIs" dxfId="10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workbookViewId="0">
      <selection sqref="A1:J2"/>
    </sheetView>
  </sheetViews>
  <sheetFormatPr baseColWidth="10" defaultColWidth="8.83203125" defaultRowHeight="15"/>
  <cols>
    <col min="1" max="1" width="18" customWidth="1"/>
    <col min="2" max="3" width="22" customWidth="1"/>
    <col min="4" max="6" width="16" customWidth="1"/>
    <col min="7" max="7" width="15" customWidth="1"/>
    <col min="8" max="9" width="34" customWidth="1"/>
    <col min="10" max="10" width="20" customWidth="1"/>
  </cols>
  <sheetData>
    <row r="1" spans="1:10" ht="34" customHeight="1">
      <c r="A1" s="14" t="s">
        <v>125</v>
      </c>
      <c r="B1" s="14" t="s">
        <v>125</v>
      </c>
      <c r="C1" s="14" t="s">
        <v>125</v>
      </c>
      <c r="D1" s="14" t="s">
        <v>125</v>
      </c>
      <c r="E1" s="14" t="s">
        <v>125</v>
      </c>
      <c r="F1" s="14" t="s">
        <v>125</v>
      </c>
      <c r="G1" s="14" t="s">
        <v>125</v>
      </c>
      <c r="H1" s="14" t="s">
        <v>125</v>
      </c>
      <c r="I1" s="14" t="s">
        <v>125</v>
      </c>
      <c r="J1" s="14" t="s">
        <v>125</v>
      </c>
    </row>
    <row r="2" spans="1:10" ht="34" customHeight="1">
      <c r="A2" s="14" t="s">
        <v>125</v>
      </c>
      <c r="B2" s="14" t="s">
        <v>125</v>
      </c>
      <c r="C2" s="14" t="s">
        <v>125</v>
      </c>
      <c r="D2" s="14" t="s">
        <v>125</v>
      </c>
      <c r="E2" s="14" t="s">
        <v>125</v>
      </c>
      <c r="F2" s="14" t="s">
        <v>125</v>
      </c>
      <c r="G2" s="14" t="s">
        <v>125</v>
      </c>
      <c r="H2" s="14" t="s">
        <v>125</v>
      </c>
      <c r="I2" s="14" t="s">
        <v>125</v>
      </c>
      <c r="J2" s="14" t="s">
        <v>125</v>
      </c>
    </row>
    <row r="3" spans="1:10" ht="16">
      <c r="A3" s="4" t="s">
        <v>126</v>
      </c>
      <c r="B3" s="4" t="s">
        <v>126</v>
      </c>
      <c r="C3" s="4" t="s">
        <v>126</v>
      </c>
      <c r="D3" s="4" t="s">
        <v>126</v>
      </c>
      <c r="E3" s="4" t="s">
        <v>126</v>
      </c>
      <c r="F3" s="4" t="s">
        <v>126</v>
      </c>
      <c r="G3" s="4" t="s">
        <v>126</v>
      </c>
      <c r="H3" s="4" t="s">
        <v>126</v>
      </c>
      <c r="I3" s="4" t="s">
        <v>126</v>
      </c>
      <c r="J3" s="4" t="s">
        <v>126</v>
      </c>
    </row>
    <row r="4" spans="1:10" ht="34">
      <c r="A4" s="5" t="s">
        <v>127</v>
      </c>
      <c r="B4" s="6" t="s">
        <v>128</v>
      </c>
      <c r="C4" s="6" t="s">
        <v>129</v>
      </c>
      <c r="D4" s="6" t="s">
        <v>130</v>
      </c>
      <c r="E4" s="6" t="s">
        <v>131</v>
      </c>
      <c r="F4" s="6" t="s">
        <v>132</v>
      </c>
      <c r="G4" s="6" t="s">
        <v>48</v>
      </c>
      <c r="H4" s="6" t="s">
        <v>133</v>
      </c>
      <c r="I4" s="6" t="s">
        <v>134</v>
      </c>
      <c r="J4" s="7" t="s">
        <v>32</v>
      </c>
    </row>
    <row r="5" spans="1:10" ht="17">
      <c r="A5" s="8" t="s">
        <v>135</v>
      </c>
      <c r="B5" s="8" t="s">
        <v>136</v>
      </c>
      <c r="C5" s="8" t="s">
        <v>137</v>
      </c>
      <c r="D5" s="9">
        <v>66</v>
      </c>
      <c r="E5" s="30">
        <v>0.35</v>
      </c>
      <c r="F5" s="9">
        <f t="shared" ref="F5:F11" si="0">D5*E5</f>
        <v>23.099999999999998</v>
      </c>
      <c r="G5" s="8" t="s">
        <v>138</v>
      </c>
      <c r="H5" s="8" t="s">
        <v>139</v>
      </c>
      <c r="I5" s="8" t="s">
        <v>140</v>
      </c>
      <c r="J5" s="8" t="s">
        <v>141</v>
      </c>
    </row>
    <row r="6" spans="1:10" ht="17">
      <c r="A6" s="8" t="s">
        <v>142</v>
      </c>
      <c r="B6" s="8" t="s">
        <v>143</v>
      </c>
      <c r="C6" s="8" t="s">
        <v>144</v>
      </c>
      <c r="D6" s="9">
        <v>41.25</v>
      </c>
      <c r="E6" s="30">
        <v>0.3</v>
      </c>
      <c r="F6" s="9">
        <f t="shared" si="0"/>
        <v>12.375</v>
      </c>
      <c r="G6" s="8" t="s">
        <v>138</v>
      </c>
      <c r="H6" s="8" t="s">
        <v>145</v>
      </c>
      <c r="I6" s="8" t="s">
        <v>146</v>
      </c>
      <c r="J6" s="8" t="s">
        <v>147</v>
      </c>
    </row>
    <row r="7" spans="1:10" ht="17">
      <c r="A7" s="8" t="s">
        <v>148</v>
      </c>
      <c r="B7" s="8" t="s">
        <v>149</v>
      </c>
      <c r="C7" s="8" t="s">
        <v>144</v>
      </c>
      <c r="D7" s="9">
        <v>13.2</v>
      </c>
      <c r="E7" s="30">
        <v>0.25</v>
      </c>
      <c r="F7" s="9">
        <f t="shared" si="0"/>
        <v>3.3</v>
      </c>
      <c r="G7" s="8" t="s">
        <v>138</v>
      </c>
      <c r="H7" s="8" t="s">
        <v>150</v>
      </c>
      <c r="I7" s="8" t="s">
        <v>151</v>
      </c>
      <c r="J7" s="8" t="s">
        <v>152</v>
      </c>
    </row>
    <row r="8" spans="1:10" ht="17">
      <c r="A8" s="8" t="s">
        <v>153</v>
      </c>
      <c r="B8" s="8" t="s">
        <v>154</v>
      </c>
      <c r="C8" s="8" t="s">
        <v>144</v>
      </c>
      <c r="D8" s="9">
        <v>11.55</v>
      </c>
      <c r="E8" s="30">
        <v>0.4</v>
      </c>
      <c r="F8" s="9">
        <f t="shared" si="0"/>
        <v>4.62</v>
      </c>
      <c r="G8" s="8" t="s">
        <v>138</v>
      </c>
      <c r="H8" s="8" t="s">
        <v>155</v>
      </c>
      <c r="I8" s="8" t="s">
        <v>156</v>
      </c>
      <c r="J8" s="8" t="s">
        <v>157</v>
      </c>
    </row>
    <row r="9" spans="1:10" ht="17">
      <c r="A9" s="8" t="s">
        <v>158</v>
      </c>
      <c r="B9" s="8" t="s">
        <v>159</v>
      </c>
      <c r="C9" s="8" t="s">
        <v>160</v>
      </c>
      <c r="D9" s="9">
        <v>9.9</v>
      </c>
      <c r="E9" s="30">
        <v>0.3</v>
      </c>
      <c r="F9" s="9">
        <f t="shared" si="0"/>
        <v>2.97</v>
      </c>
      <c r="G9" s="8" t="s">
        <v>138</v>
      </c>
      <c r="H9" s="8" t="s">
        <v>161</v>
      </c>
      <c r="I9" s="8" t="s">
        <v>162</v>
      </c>
      <c r="J9" s="8" t="s">
        <v>147</v>
      </c>
    </row>
    <row r="10" spans="1:10" ht="17">
      <c r="A10" s="8" t="s">
        <v>163</v>
      </c>
      <c r="B10" s="8" t="s">
        <v>164</v>
      </c>
      <c r="C10" s="8" t="s">
        <v>144</v>
      </c>
      <c r="D10" s="9">
        <v>8.25</v>
      </c>
      <c r="E10" s="30">
        <v>0.5</v>
      </c>
      <c r="F10" s="9">
        <f t="shared" si="0"/>
        <v>4.125</v>
      </c>
      <c r="G10" s="8" t="s">
        <v>138</v>
      </c>
      <c r="H10" s="8" t="s">
        <v>165</v>
      </c>
      <c r="I10" s="8" t="s">
        <v>166</v>
      </c>
      <c r="J10" s="8" t="s">
        <v>167</v>
      </c>
    </row>
    <row r="11" spans="1:10" ht="17">
      <c r="A11" s="8" t="s">
        <v>168</v>
      </c>
      <c r="B11" s="8" t="s">
        <v>169</v>
      </c>
      <c r="C11" s="8" t="s">
        <v>170</v>
      </c>
      <c r="D11" s="9">
        <v>4.95</v>
      </c>
      <c r="E11" s="30">
        <v>0.6</v>
      </c>
      <c r="F11" s="9">
        <f t="shared" si="0"/>
        <v>2.97</v>
      </c>
      <c r="G11" s="8" t="s">
        <v>138</v>
      </c>
      <c r="H11" s="8" t="s">
        <v>171</v>
      </c>
      <c r="I11" s="8" t="s">
        <v>172</v>
      </c>
      <c r="J11" s="8" t="s">
        <v>51</v>
      </c>
    </row>
  </sheetData>
  <mergeCells count="2">
    <mergeCell ref="A1:J2"/>
    <mergeCell ref="A3:J3"/>
  </mergeCells>
  <conditionalFormatting sqref="G5:G11">
    <cfRule type="containsText" dxfId="9" priority="1" operator="containsText" text="Confirmed"/>
    <cfRule type="containsText" dxfId="8" priority="2" operator="containsText" text="At risk"/>
  </conditionalFormatting>
  <dataValidations count="1">
    <dataValidation type="list" sqref="G5:G11" xr:uid="{00000000-0002-0000-0300-000000000000}">
      <formula1>"Planned,In negotiation,Confirmed,At risk,Closed"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showGridLines="0" workbookViewId="0">
      <selection activeCell="F21" sqref="F21"/>
    </sheetView>
  </sheetViews>
  <sheetFormatPr baseColWidth="10" defaultColWidth="8.83203125" defaultRowHeight="15"/>
  <cols>
    <col min="1" max="2" width="12" customWidth="1"/>
    <col min="3" max="3" width="38" customWidth="1"/>
    <col min="4" max="7" width="13" customWidth="1"/>
    <col min="8" max="8" width="48" customWidth="1"/>
    <col min="9" max="9" width="20" customWidth="1"/>
    <col min="10" max="10" width="24" customWidth="1"/>
    <col min="11" max="12" width="14" customWidth="1"/>
  </cols>
  <sheetData>
    <row r="1" spans="1:12" ht="34" customHeight="1">
      <c r="A1" s="14" t="s">
        <v>173</v>
      </c>
      <c r="B1" s="14" t="s">
        <v>173</v>
      </c>
      <c r="C1" s="14" t="s">
        <v>173</v>
      </c>
      <c r="D1" s="14" t="s">
        <v>173</v>
      </c>
      <c r="E1" s="14" t="s">
        <v>173</v>
      </c>
      <c r="F1" s="14" t="s">
        <v>173</v>
      </c>
      <c r="G1" s="14" t="s">
        <v>173</v>
      </c>
      <c r="H1" s="14" t="s">
        <v>173</v>
      </c>
      <c r="I1" s="14" t="s">
        <v>173</v>
      </c>
      <c r="J1" s="14" t="s">
        <v>173</v>
      </c>
      <c r="K1" s="14" t="s">
        <v>173</v>
      </c>
      <c r="L1" s="14" t="s">
        <v>173</v>
      </c>
    </row>
    <row r="2" spans="1:12" ht="34" customHeight="1">
      <c r="A2" s="14" t="s">
        <v>173</v>
      </c>
      <c r="B2" s="14" t="s">
        <v>173</v>
      </c>
      <c r="C2" s="14" t="s">
        <v>173</v>
      </c>
      <c r="D2" s="14" t="s">
        <v>173</v>
      </c>
      <c r="E2" s="14" t="s">
        <v>173</v>
      </c>
      <c r="F2" s="14" t="s">
        <v>173</v>
      </c>
      <c r="G2" s="14" t="s">
        <v>173</v>
      </c>
      <c r="H2" s="14" t="s">
        <v>173</v>
      </c>
      <c r="I2" s="14" t="s">
        <v>173</v>
      </c>
      <c r="J2" s="14" t="s">
        <v>173</v>
      </c>
      <c r="K2" s="14" t="s">
        <v>173</v>
      </c>
      <c r="L2" s="14" t="s">
        <v>173</v>
      </c>
    </row>
    <row r="3" spans="1:12" ht="16">
      <c r="A3" s="4" t="s">
        <v>174</v>
      </c>
      <c r="B3" s="4" t="s">
        <v>174</v>
      </c>
      <c r="C3" s="4" t="s">
        <v>174</v>
      </c>
      <c r="D3" s="4" t="s">
        <v>174</v>
      </c>
      <c r="E3" s="4" t="s">
        <v>174</v>
      </c>
      <c r="F3" s="4" t="s">
        <v>174</v>
      </c>
      <c r="G3" s="4" t="s">
        <v>174</v>
      </c>
      <c r="H3" s="4" t="s">
        <v>174</v>
      </c>
      <c r="I3" s="4" t="s">
        <v>174</v>
      </c>
      <c r="J3" s="4" t="s">
        <v>174</v>
      </c>
      <c r="K3" s="4" t="s">
        <v>174</v>
      </c>
      <c r="L3" s="4" t="s">
        <v>174</v>
      </c>
    </row>
    <row r="4" spans="1:12" ht="17">
      <c r="A4" s="5" t="s">
        <v>175</v>
      </c>
      <c r="B4" s="6" t="s">
        <v>176</v>
      </c>
      <c r="C4" s="6" t="s">
        <v>177</v>
      </c>
      <c r="D4" s="6" t="s">
        <v>178</v>
      </c>
      <c r="E4" s="6" t="s">
        <v>179</v>
      </c>
      <c r="F4" s="6" t="s">
        <v>180</v>
      </c>
      <c r="G4" s="6" t="s">
        <v>181</v>
      </c>
      <c r="H4" s="6" t="s">
        <v>182</v>
      </c>
      <c r="I4" s="6" t="s">
        <v>32</v>
      </c>
      <c r="J4" s="6" t="s">
        <v>183</v>
      </c>
      <c r="K4" s="6" t="s">
        <v>48</v>
      </c>
      <c r="L4" s="7" t="s">
        <v>184</v>
      </c>
    </row>
    <row r="5" spans="1:12" ht="34">
      <c r="A5" s="8" t="s">
        <v>185</v>
      </c>
      <c r="B5" s="8" t="s">
        <v>79</v>
      </c>
      <c r="C5" s="8" t="s">
        <v>186</v>
      </c>
      <c r="D5" s="8">
        <v>4</v>
      </c>
      <c r="E5" s="8">
        <v>5</v>
      </c>
      <c r="F5" s="8">
        <f t="shared" ref="F5:F12" si="0">D5*E5</f>
        <v>20</v>
      </c>
      <c r="G5" s="8" t="str">
        <f t="shared" ref="G5:G12" si="1">IF(F5&gt;=15,"High",IF(F5&gt;=8,"Medium","Low"))</f>
        <v>High</v>
      </c>
      <c r="H5" s="8" t="s">
        <v>187</v>
      </c>
      <c r="I5" s="8" t="s">
        <v>51</v>
      </c>
      <c r="J5" s="8" t="s">
        <v>188</v>
      </c>
      <c r="K5" s="8" t="s">
        <v>189</v>
      </c>
      <c r="L5" s="31">
        <v>44256</v>
      </c>
    </row>
    <row r="6" spans="1:12" ht="34">
      <c r="A6" s="8" t="s">
        <v>190</v>
      </c>
      <c r="B6" s="8" t="s">
        <v>79</v>
      </c>
      <c r="C6" s="8" t="s">
        <v>191</v>
      </c>
      <c r="D6" s="8">
        <v>3</v>
      </c>
      <c r="E6" s="8">
        <v>5</v>
      </c>
      <c r="F6" s="8">
        <f t="shared" si="0"/>
        <v>15</v>
      </c>
      <c r="G6" s="8" t="str">
        <f t="shared" si="1"/>
        <v>High</v>
      </c>
      <c r="H6" s="8" t="s">
        <v>192</v>
      </c>
      <c r="I6" s="8" t="s">
        <v>141</v>
      </c>
      <c r="J6" s="8" t="s">
        <v>193</v>
      </c>
      <c r="K6" s="8" t="s">
        <v>189</v>
      </c>
      <c r="L6" s="31">
        <v>44256</v>
      </c>
    </row>
    <row r="7" spans="1:12" ht="34">
      <c r="A7" s="8" t="s">
        <v>194</v>
      </c>
      <c r="B7" s="8" t="s">
        <v>79</v>
      </c>
      <c r="C7" s="8" t="s">
        <v>195</v>
      </c>
      <c r="D7" s="8">
        <v>3</v>
      </c>
      <c r="E7" s="8">
        <v>5</v>
      </c>
      <c r="F7" s="8">
        <f t="shared" si="0"/>
        <v>15</v>
      </c>
      <c r="G7" s="8" t="str">
        <f t="shared" si="1"/>
        <v>High</v>
      </c>
      <c r="H7" s="8" t="s">
        <v>196</v>
      </c>
      <c r="I7" s="8" t="s">
        <v>167</v>
      </c>
      <c r="J7" s="8" t="s">
        <v>197</v>
      </c>
      <c r="K7" s="8" t="s">
        <v>189</v>
      </c>
      <c r="L7" s="31">
        <v>44260</v>
      </c>
    </row>
    <row r="8" spans="1:12" ht="34">
      <c r="A8" s="8" t="s">
        <v>198</v>
      </c>
      <c r="B8" s="8" t="s">
        <v>79</v>
      </c>
      <c r="C8" s="8" t="s">
        <v>199</v>
      </c>
      <c r="D8" s="8">
        <v>3</v>
      </c>
      <c r="E8" s="8">
        <v>4</v>
      </c>
      <c r="F8" s="8">
        <f t="shared" si="0"/>
        <v>12</v>
      </c>
      <c r="G8" s="8" t="str">
        <f t="shared" si="1"/>
        <v>Medium</v>
      </c>
      <c r="H8" s="8" t="s">
        <v>200</v>
      </c>
      <c r="I8" s="8" t="s">
        <v>201</v>
      </c>
      <c r="J8" s="8" t="s">
        <v>202</v>
      </c>
      <c r="K8" s="8" t="s">
        <v>189</v>
      </c>
      <c r="L8" s="31">
        <v>44260</v>
      </c>
    </row>
    <row r="9" spans="1:12" ht="34">
      <c r="A9" s="8" t="s">
        <v>203</v>
      </c>
      <c r="B9" s="8" t="s">
        <v>79</v>
      </c>
      <c r="C9" s="8" t="s">
        <v>204</v>
      </c>
      <c r="D9" s="8">
        <v>4</v>
      </c>
      <c r="E9" s="8">
        <v>4</v>
      </c>
      <c r="F9" s="8">
        <f t="shared" si="0"/>
        <v>16</v>
      </c>
      <c r="G9" s="8" t="str">
        <f t="shared" si="1"/>
        <v>High</v>
      </c>
      <c r="H9" s="8" t="s">
        <v>205</v>
      </c>
      <c r="I9" s="8" t="s">
        <v>206</v>
      </c>
      <c r="J9" s="8" t="s">
        <v>207</v>
      </c>
      <c r="K9" s="8" t="s">
        <v>208</v>
      </c>
      <c r="L9" s="31">
        <v>44246</v>
      </c>
    </row>
    <row r="10" spans="1:12" ht="34">
      <c r="A10" s="8" t="s">
        <v>209</v>
      </c>
      <c r="B10" s="8" t="s">
        <v>79</v>
      </c>
      <c r="C10" s="8" t="s">
        <v>210</v>
      </c>
      <c r="D10" s="8">
        <v>3</v>
      </c>
      <c r="E10" s="8">
        <v>4</v>
      </c>
      <c r="F10" s="8">
        <f t="shared" si="0"/>
        <v>12</v>
      </c>
      <c r="G10" s="8" t="str">
        <f t="shared" si="1"/>
        <v>Medium</v>
      </c>
      <c r="H10" s="8" t="s">
        <v>211</v>
      </c>
      <c r="I10" s="8" t="s">
        <v>147</v>
      </c>
      <c r="J10" s="8" t="s">
        <v>212</v>
      </c>
      <c r="K10" s="8" t="s">
        <v>189</v>
      </c>
      <c r="L10" s="31">
        <v>44253</v>
      </c>
    </row>
    <row r="11" spans="1:12" ht="34">
      <c r="A11" s="8" t="s">
        <v>213</v>
      </c>
      <c r="B11" s="8" t="s">
        <v>79</v>
      </c>
      <c r="C11" s="8" t="s">
        <v>214</v>
      </c>
      <c r="D11" s="8">
        <v>4</v>
      </c>
      <c r="E11" s="8">
        <v>4</v>
      </c>
      <c r="F11" s="8">
        <f t="shared" si="0"/>
        <v>16</v>
      </c>
      <c r="G11" s="8" t="str">
        <f t="shared" si="1"/>
        <v>High</v>
      </c>
      <c r="H11" s="8" t="s">
        <v>215</v>
      </c>
      <c r="I11" s="8" t="s">
        <v>51</v>
      </c>
      <c r="J11" s="8" t="s">
        <v>216</v>
      </c>
      <c r="K11" s="8" t="s">
        <v>208</v>
      </c>
      <c r="L11" s="31">
        <v>44274</v>
      </c>
    </row>
    <row r="12" spans="1:12" ht="34">
      <c r="A12" s="8" t="s">
        <v>217</v>
      </c>
      <c r="B12" s="8" t="s">
        <v>218</v>
      </c>
      <c r="C12" s="8" t="s">
        <v>219</v>
      </c>
      <c r="D12" s="8">
        <v>3</v>
      </c>
      <c r="E12" s="8">
        <v>3</v>
      </c>
      <c r="F12" s="8">
        <f t="shared" si="0"/>
        <v>9</v>
      </c>
      <c r="G12" s="8" t="str">
        <f t="shared" si="1"/>
        <v>Medium</v>
      </c>
      <c r="H12" s="8" t="s">
        <v>220</v>
      </c>
      <c r="I12" s="8" t="s">
        <v>221</v>
      </c>
      <c r="J12" s="8" t="s">
        <v>222</v>
      </c>
      <c r="K12" s="8" t="s">
        <v>223</v>
      </c>
      <c r="L12" s="31">
        <v>44253</v>
      </c>
    </row>
  </sheetData>
  <mergeCells count="2">
    <mergeCell ref="A1:L2"/>
    <mergeCell ref="A3:L3"/>
  </mergeCells>
  <conditionalFormatting sqref="G5:G12">
    <cfRule type="containsText" dxfId="7" priority="1" operator="containsText" text="High"/>
    <cfRule type="containsText" dxfId="6" priority="2" operator="containsText" text="Medium"/>
    <cfRule type="containsText" dxfId="5" priority="3" operator="containsText" text="Low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showGridLines="0" workbookViewId="0">
      <selection activeCell="C20" sqref="C20"/>
    </sheetView>
  </sheetViews>
  <sheetFormatPr baseColWidth="10" defaultColWidth="8.83203125" defaultRowHeight="16"/>
  <cols>
    <col min="1" max="1" width="30" style="3" customWidth="1"/>
    <col min="2" max="9" width="19" style="3" customWidth="1"/>
    <col min="10" max="16384" width="8.83203125" style="3"/>
  </cols>
  <sheetData>
    <row r="1" spans="1:9" ht="34" customHeight="1">
      <c r="A1" s="14" t="s">
        <v>224</v>
      </c>
      <c r="B1" s="14" t="s">
        <v>224</v>
      </c>
      <c r="C1" s="14" t="s">
        <v>224</v>
      </c>
      <c r="D1" s="14" t="s">
        <v>224</v>
      </c>
      <c r="E1" s="14" t="s">
        <v>224</v>
      </c>
      <c r="F1" s="14" t="s">
        <v>224</v>
      </c>
      <c r="G1" s="14" t="s">
        <v>224</v>
      </c>
      <c r="H1" s="14" t="s">
        <v>224</v>
      </c>
      <c r="I1" s="14" t="s">
        <v>224</v>
      </c>
    </row>
    <row r="2" spans="1:9" ht="34" customHeight="1">
      <c r="A2" s="14" t="s">
        <v>224</v>
      </c>
      <c r="B2" s="14" t="s">
        <v>224</v>
      </c>
      <c r="C2" s="14" t="s">
        <v>224</v>
      </c>
      <c r="D2" s="14" t="s">
        <v>224</v>
      </c>
      <c r="E2" s="14" t="s">
        <v>224</v>
      </c>
      <c r="F2" s="14" t="s">
        <v>224</v>
      </c>
      <c r="G2" s="14" t="s">
        <v>224</v>
      </c>
      <c r="H2" s="14" t="s">
        <v>224</v>
      </c>
      <c r="I2" s="14" t="s">
        <v>224</v>
      </c>
    </row>
    <row r="4" spans="1:9" ht="34">
      <c r="A4" s="5" t="s">
        <v>29</v>
      </c>
      <c r="B4" s="6" t="s">
        <v>51</v>
      </c>
      <c r="C4" s="6" t="s">
        <v>225</v>
      </c>
      <c r="D4" s="6" t="s">
        <v>226</v>
      </c>
      <c r="E4" s="6" t="s">
        <v>72</v>
      </c>
      <c r="F4" s="6" t="s">
        <v>227</v>
      </c>
      <c r="G4" s="6" t="s">
        <v>228</v>
      </c>
      <c r="H4" s="6" t="s">
        <v>81</v>
      </c>
      <c r="I4" s="7" t="s">
        <v>229</v>
      </c>
    </row>
    <row r="5" spans="1:9" ht="17">
      <c r="A5" s="8" t="s">
        <v>230</v>
      </c>
      <c r="B5" s="8" t="s">
        <v>231</v>
      </c>
      <c r="C5" s="8" t="s">
        <v>232</v>
      </c>
      <c r="D5" s="8" t="s">
        <v>233</v>
      </c>
      <c r="E5" s="8" t="s">
        <v>233</v>
      </c>
      <c r="F5" s="8" t="s">
        <v>233</v>
      </c>
      <c r="G5" s="8" t="s">
        <v>234</v>
      </c>
      <c r="H5" s="8" t="s">
        <v>233</v>
      </c>
      <c r="I5" s="8" t="s">
        <v>233</v>
      </c>
    </row>
    <row r="6" spans="1:9" ht="17">
      <c r="A6" s="8" t="s">
        <v>235</v>
      </c>
      <c r="B6" s="8" t="s">
        <v>231</v>
      </c>
      <c r="C6" s="8" t="s">
        <v>233</v>
      </c>
      <c r="D6" s="8" t="s">
        <v>236</v>
      </c>
      <c r="E6" s="8" t="s">
        <v>234</v>
      </c>
      <c r="F6" s="8" t="s">
        <v>236</v>
      </c>
      <c r="G6" s="8" t="s">
        <v>233</v>
      </c>
      <c r="H6" s="8" t="s">
        <v>233</v>
      </c>
      <c r="I6" s="8" t="s">
        <v>234</v>
      </c>
    </row>
    <row r="7" spans="1:9" ht="17">
      <c r="A7" s="8" t="s">
        <v>237</v>
      </c>
      <c r="B7" s="8" t="s">
        <v>232</v>
      </c>
      <c r="C7" s="8" t="s">
        <v>234</v>
      </c>
      <c r="D7" s="8" t="s">
        <v>236</v>
      </c>
      <c r="E7" s="8" t="s">
        <v>233</v>
      </c>
      <c r="F7" s="8" t="s">
        <v>234</v>
      </c>
      <c r="G7" s="8" t="s">
        <v>234</v>
      </c>
      <c r="H7" s="8" t="s">
        <v>233</v>
      </c>
      <c r="I7" s="8" t="s">
        <v>233</v>
      </c>
    </row>
    <row r="8" spans="1:9" ht="17">
      <c r="A8" s="8" t="s">
        <v>238</v>
      </c>
      <c r="B8" s="8" t="s">
        <v>236</v>
      </c>
      <c r="C8" s="8" t="s">
        <v>233</v>
      </c>
      <c r="D8" s="8" t="s">
        <v>233</v>
      </c>
      <c r="E8" s="8" t="s">
        <v>239</v>
      </c>
      <c r="F8" s="8" t="s">
        <v>233</v>
      </c>
      <c r="G8" s="8" t="s">
        <v>234</v>
      </c>
      <c r="H8" s="8" t="s">
        <v>234</v>
      </c>
      <c r="I8" s="8" t="s">
        <v>234</v>
      </c>
    </row>
    <row r="9" spans="1:9" ht="17">
      <c r="A9" s="8" t="s">
        <v>240</v>
      </c>
      <c r="B9" s="8" t="s">
        <v>232</v>
      </c>
      <c r="C9" s="8" t="s">
        <v>233</v>
      </c>
      <c r="D9" s="8" t="s">
        <v>234</v>
      </c>
      <c r="E9" s="8" t="s">
        <v>233</v>
      </c>
      <c r="F9" s="8" t="s">
        <v>236</v>
      </c>
      <c r="G9" s="8" t="s">
        <v>236</v>
      </c>
      <c r="H9" s="8" t="s">
        <v>233</v>
      </c>
      <c r="I9" s="8" t="s">
        <v>234</v>
      </c>
    </row>
    <row r="10" spans="1:9" ht="17">
      <c r="A10" s="8" t="s">
        <v>148</v>
      </c>
      <c r="B10" s="8" t="s">
        <v>232</v>
      </c>
      <c r="C10" s="8" t="s">
        <v>234</v>
      </c>
      <c r="D10" s="8" t="s">
        <v>234</v>
      </c>
      <c r="E10" s="8" t="s">
        <v>233</v>
      </c>
      <c r="F10" s="8" t="s">
        <v>236</v>
      </c>
      <c r="G10" s="8" t="s">
        <v>236</v>
      </c>
      <c r="H10" s="8" t="s">
        <v>233</v>
      </c>
      <c r="I10" s="8" t="s">
        <v>234</v>
      </c>
    </row>
    <row r="11" spans="1:9" ht="17">
      <c r="A11" s="8" t="s">
        <v>241</v>
      </c>
      <c r="B11" s="8" t="s">
        <v>232</v>
      </c>
      <c r="C11" s="8" t="s">
        <v>233</v>
      </c>
      <c r="D11" s="8" t="s">
        <v>233</v>
      </c>
      <c r="E11" s="8" t="s">
        <v>234</v>
      </c>
      <c r="F11" s="8" t="s">
        <v>233</v>
      </c>
      <c r="G11" s="8" t="s">
        <v>233</v>
      </c>
      <c r="H11" s="8" t="s">
        <v>236</v>
      </c>
      <c r="I11" s="8" t="s">
        <v>233</v>
      </c>
    </row>
    <row r="12" spans="1:9" ht="17">
      <c r="A12" s="8" t="s">
        <v>242</v>
      </c>
      <c r="B12" s="8" t="s">
        <v>232</v>
      </c>
      <c r="C12" s="8" t="s">
        <v>233</v>
      </c>
      <c r="D12" s="8" t="s">
        <v>236</v>
      </c>
      <c r="E12" s="8" t="s">
        <v>234</v>
      </c>
      <c r="F12" s="8" t="s">
        <v>234</v>
      </c>
      <c r="G12" s="8" t="s">
        <v>234</v>
      </c>
      <c r="H12" s="8" t="s">
        <v>233</v>
      </c>
      <c r="I12" s="8" t="s">
        <v>236</v>
      </c>
    </row>
    <row r="13" spans="1:9" ht="17">
      <c r="A13" s="8" t="s">
        <v>243</v>
      </c>
      <c r="B13" s="8" t="s">
        <v>232</v>
      </c>
      <c r="C13" s="8" t="s">
        <v>234</v>
      </c>
      <c r="D13" s="8" t="s">
        <v>233</v>
      </c>
      <c r="E13" s="8" t="s">
        <v>234</v>
      </c>
      <c r="F13" s="8" t="s">
        <v>233</v>
      </c>
      <c r="G13" s="8" t="s">
        <v>233</v>
      </c>
      <c r="H13" s="8" t="s">
        <v>236</v>
      </c>
      <c r="I13" s="8" t="s">
        <v>234</v>
      </c>
    </row>
    <row r="14" spans="1:9" ht="17">
      <c r="A14" s="8" t="s">
        <v>244</v>
      </c>
      <c r="B14" s="8" t="s">
        <v>239</v>
      </c>
      <c r="C14" s="8" t="s">
        <v>234</v>
      </c>
      <c r="D14" s="8" t="s">
        <v>236</v>
      </c>
      <c r="E14" s="8" t="s">
        <v>234</v>
      </c>
      <c r="F14" s="8" t="s">
        <v>236</v>
      </c>
      <c r="G14" s="8" t="s">
        <v>236</v>
      </c>
      <c r="H14" s="8" t="s">
        <v>236</v>
      </c>
      <c r="I14" s="8" t="s">
        <v>233</v>
      </c>
    </row>
    <row r="15" spans="1:9" ht="17">
      <c r="A15" s="8" t="s">
        <v>245</v>
      </c>
      <c r="B15" s="8" t="s">
        <v>231</v>
      </c>
      <c r="C15" s="8" t="s">
        <v>233</v>
      </c>
      <c r="D15" s="8" t="s">
        <v>233</v>
      </c>
      <c r="E15" s="8" t="s">
        <v>236</v>
      </c>
      <c r="F15" s="8" t="s">
        <v>233</v>
      </c>
      <c r="G15" s="8" t="s">
        <v>233</v>
      </c>
      <c r="H15" s="8" t="s">
        <v>233</v>
      </c>
      <c r="I15" s="8" t="s">
        <v>234</v>
      </c>
    </row>
  </sheetData>
  <mergeCells count="1">
    <mergeCell ref="A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showGridLines="0" workbookViewId="0">
      <selection activeCell="D22" sqref="D22"/>
    </sheetView>
  </sheetViews>
  <sheetFormatPr baseColWidth="10" defaultColWidth="8.83203125" defaultRowHeight="15"/>
  <cols>
    <col min="1" max="1" width="20" customWidth="1"/>
    <col min="2" max="10" width="17" customWidth="1"/>
  </cols>
  <sheetData>
    <row r="1" spans="1:10" ht="34" customHeight="1">
      <c r="A1" s="14" t="s">
        <v>246</v>
      </c>
      <c r="B1" s="14" t="s">
        <v>246</v>
      </c>
      <c r="C1" s="14" t="s">
        <v>246</v>
      </c>
      <c r="D1" s="14" t="s">
        <v>246</v>
      </c>
      <c r="E1" s="14" t="s">
        <v>246</v>
      </c>
      <c r="F1" s="14" t="s">
        <v>246</v>
      </c>
      <c r="G1" s="14" t="s">
        <v>246</v>
      </c>
      <c r="H1" s="14" t="s">
        <v>246</v>
      </c>
      <c r="I1" s="14" t="s">
        <v>246</v>
      </c>
      <c r="J1" s="14" t="s">
        <v>246</v>
      </c>
    </row>
    <row r="2" spans="1:10" ht="34" customHeight="1">
      <c r="A2" s="14" t="s">
        <v>246</v>
      </c>
      <c r="B2" s="14" t="s">
        <v>246</v>
      </c>
      <c r="C2" s="14" t="s">
        <v>246</v>
      </c>
      <c r="D2" s="14" t="s">
        <v>246</v>
      </c>
      <c r="E2" s="14" t="s">
        <v>246</v>
      </c>
      <c r="F2" s="14" t="s">
        <v>246</v>
      </c>
      <c r="G2" s="14" t="s">
        <v>246</v>
      </c>
      <c r="H2" s="14" t="s">
        <v>246</v>
      </c>
      <c r="I2" s="14" t="s">
        <v>246</v>
      </c>
      <c r="J2" s="14" t="s">
        <v>246</v>
      </c>
    </row>
    <row r="3" spans="1:10" ht="16">
      <c r="A3" s="4" t="s">
        <v>292</v>
      </c>
      <c r="B3" s="4" t="s">
        <v>247</v>
      </c>
      <c r="C3" s="4" t="s">
        <v>247</v>
      </c>
      <c r="D3" s="4" t="s">
        <v>247</v>
      </c>
      <c r="E3" s="4" t="s">
        <v>247</v>
      </c>
      <c r="F3" s="4" t="s">
        <v>247</v>
      </c>
      <c r="G3" s="4" t="s">
        <v>247</v>
      </c>
      <c r="H3" s="4" t="s">
        <v>247</v>
      </c>
      <c r="I3" s="4" t="s">
        <v>247</v>
      </c>
      <c r="J3" s="4" t="s">
        <v>247</v>
      </c>
    </row>
    <row r="4" spans="1:10" ht="17">
      <c r="A4" s="5" t="s">
        <v>248</v>
      </c>
      <c r="B4" s="6" t="s">
        <v>249</v>
      </c>
      <c r="C4" s="6" t="s">
        <v>250</v>
      </c>
      <c r="D4" s="6" t="s">
        <v>251</v>
      </c>
      <c r="E4" s="6" t="s">
        <v>252</v>
      </c>
      <c r="F4" s="6" t="s">
        <v>253</v>
      </c>
      <c r="G4" s="6" t="s">
        <v>254</v>
      </c>
      <c r="H4" s="6" t="s">
        <v>255</v>
      </c>
      <c r="I4" s="6" t="s">
        <v>256</v>
      </c>
      <c r="J4" s="7" t="s">
        <v>257</v>
      </c>
    </row>
    <row r="5" spans="1:10" ht="16">
      <c r="A5" s="3" t="s">
        <v>258</v>
      </c>
      <c r="B5" s="3">
        <v>180</v>
      </c>
      <c r="C5" s="3">
        <v>115</v>
      </c>
      <c r="D5" s="3">
        <v>90</v>
      </c>
      <c r="E5" s="3">
        <v>70</v>
      </c>
      <c r="F5" s="3">
        <v>40</v>
      </c>
      <c r="G5" s="3">
        <v>0</v>
      </c>
      <c r="H5" s="3">
        <v>28</v>
      </c>
      <c r="I5" s="32">
        <f t="shared" ref="I5:I10" si="0">H5/B5</f>
        <v>0.15555555555555556</v>
      </c>
      <c r="J5" s="3">
        <f t="shared" ref="J5:J10" si="1">B5-H5</f>
        <v>152</v>
      </c>
    </row>
    <row r="6" spans="1:10" ht="16">
      <c r="A6" s="3" t="s">
        <v>259</v>
      </c>
      <c r="B6" s="3">
        <v>180</v>
      </c>
      <c r="C6" s="3">
        <v>145</v>
      </c>
      <c r="D6" s="3">
        <v>130</v>
      </c>
      <c r="E6" s="3">
        <v>110</v>
      </c>
      <c r="F6" s="3">
        <v>85</v>
      </c>
      <c r="G6" s="3">
        <v>20</v>
      </c>
      <c r="H6" s="3">
        <v>72</v>
      </c>
      <c r="I6" s="32">
        <f t="shared" si="0"/>
        <v>0.4</v>
      </c>
      <c r="J6" s="3">
        <f t="shared" si="1"/>
        <v>108</v>
      </c>
    </row>
    <row r="7" spans="1:10" ht="16">
      <c r="A7" s="3" t="s">
        <v>260</v>
      </c>
      <c r="B7" s="3">
        <v>180</v>
      </c>
      <c r="C7" s="3">
        <v>165</v>
      </c>
      <c r="D7" s="3">
        <v>158</v>
      </c>
      <c r="E7" s="3">
        <v>150</v>
      </c>
      <c r="F7" s="3">
        <v>135</v>
      </c>
      <c r="G7" s="3">
        <v>90</v>
      </c>
      <c r="H7" s="3">
        <v>126</v>
      </c>
      <c r="I7" s="32">
        <f t="shared" si="0"/>
        <v>0.7</v>
      </c>
      <c r="J7" s="3">
        <f t="shared" si="1"/>
        <v>54</v>
      </c>
    </row>
    <row r="8" spans="1:10" ht="16">
      <c r="A8" s="3" t="s">
        <v>261</v>
      </c>
      <c r="B8" s="3">
        <v>180</v>
      </c>
      <c r="C8" s="3">
        <v>176</v>
      </c>
      <c r="D8" s="3">
        <v>174</v>
      </c>
      <c r="E8" s="3">
        <v>172</v>
      </c>
      <c r="F8" s="3">
        <v>168</v>
      </c>
      <c r="G8" s="3">
        <v>154</v>
      </c>
      <c r="H8" s="3">
        <v>162</v>
      </c>
      <c r="I8" s="32">
        <f t="shared" si="0"/>
        <v>0.9</v>
      </c>
      <c r="J8" s="3">
        <f t="shared" si="1"/>
        <v>18</v>
      </c>
    </row>
    <row r="9" spans="1:10" ht="16">
      <c r="A9" s="3" t="s">
        <v>262</v>
      </c>
      <c r="B9" s="3">
        <v>180</v>
      </c>
      <c r="C9" s="3">
        <v>179</v>
      </c>
      <c r="D9" s="3">
        <v>179</v>
      </c>
      <c r="E9" s="3">
        <v>178</v>
      </c>
      <c r="F9" s="3">
        <v>176</v>
      </c>
      <c r="G9" s="3">
        <v>175</v>
      </c>
      <c r="H9" s="3">
        <v>174</v>
      </c>
      <c r="I9" s="32">
        <f t="shared" si="0"/>
        <v>0.96666666666666667</v>
      </c>
      <c r="J9" s="3">
        <f t="shared" si="1"/>
        <v>6</v>
      </c>
    </row>
    <row r="10" spans="1:10" ht="16">
      <c r="A10" s="3" t="s">
        <v>263</v>
      </c>
      <c r="B10" s="3">
        <v>180</v>
      </c>
      <c r="C10" s="3">
        <v>180</v>
      </c>
      <c r="D10" s="3">
        <v>180</v>
      </c>
      <c r="E10" s="3">
        <v>180</v>
      </c>
      <c r="F10" s="3">
        <v>180</v>
      </c>
      <c r="G10" s="3">
        <v>180</v>
      </c>
      <c r="H10" s="3">
        <v>180</v>
      </c>
      <c r="I10" s="32">
        <f t="shared" si="0"/>
        <v>1</v>
      </c>
      <c r="J10" s="3">
        <f t="shared" si="1"/>
        <v>0</v>
      </c>
    </row>
  </sheetData>
  <mergeCells count="2">
    <mergeCell ref="A1:J2"/>
    <mergeCell ref="A3:J3"/>
  </mergeCells>
  <conditionalFormatting sqref="I5:I10">
    <cfRule type="cellIs" dxfId="4" priority="1" operator="lessThan">
      <formula>0.8</formula>
    </cfRule>
    <cfRule type="cellIs" dxfId="3" priority="2" operator="between">
      <formula>0.8</formula>
      <formula>0.95</formula>
    </cfRule>
    <cfRule type="cellIs" dxfId="2" priority="3" operator="greaterThan">
      <formula>0.95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showGridLines="0" tabSelected="1" workbookViewId="0">
      <selection activeCell="C33" sqref="C33"/>
    </sheetView>
  </sheetViews>
  <sheetFormatPr baseColWidth="10" defaultColWidth="8.83203125" defaultRowHeight="16"/>
  <cols>
    <col min="1" max="1" width="28" style="3" customWidth="1"/>
    <col min="2" max="12" width="14" style="3" customWidth="1"/>
    <col min="13" max="16384" width="8.83203125" style="3"/>
  </cols>
  <sheetData>
    <row r="1" spans="1:12" ht="34" customHeight="1">
      <c r="A1" s="14" t="s">
        <v>264</v>
      </c>
      <c r="B1" s="14" t="s">
        <v>264</v>
      </c>
      <c r="C1" s="14" t="s">
        <v>264</v>
      </c>
      <c r="D1" s="14" t="s">
        <v>264</v>
      </c>
      <c r="E1" s="14" t="s">
        <v>264</v>
      </c>
      <c r="F1" s="14" t="s">
        <v>264</v>
      </c>
      <c r="G1" s="14" t="s">
        <v>264</v>
      </c>
      <c r="H1" s="14" t="s">
        <v>264</v>
      </c>
      <c r="I1" s="14" t="s">
        <v>264</v>
      </c>
      <c r="J1" s="14" t="s">
        <v>264</v>
      </c>
      <c r="K1" s="14" t="s">
        <v>264</v>
      </c>
      <c r="L1" s="14" t="s">
        <v>264</v>
      </c>
    </row>
    <row r="2" spans="1:12" ht="34" customHeight="1">
      <c r="A2" s="14" t="s">
        <v>264</v>
      </c>
      <c r="B2" s="14" t="s">
        <v>264</v>
      </c>
      <c r="C2" s="14" t="s">
        <v>264</v>
      </c>
      <c r="D2" s="14" t="s">
        <v>264</v>
      </c>
      <c r="E2" s="14" t="s">
        <v>264</v>
      </c>
      <c r="F2" s="14" t="s">
        <v>264</v>
      </c>
      <c r="G2" s="14" t="s">
        <v>264</v>
      </c>
      <c r="H2" s="14" t="s">
        <v>264</v>
      </c>
      <c r="I2" s="14" t="s">
        <v>264</v>
      </c>
      <c r="J2" s="14" t="s">
        <v>264</v>
      </c>
      <c r="K2" s="14" t="s">
        <v>264</v>
      </c>
      <c r="L2" s="14" t="s">
        <v>264</v>
      </c>
    </row>
    <row r="4" spans="1:12">
      <c r="A4" s="18" t="s">
        <v>265</v>
      </c>
      <c r="B4" s="20" t="s">
        <v>265</v>
      </c>
      <c r="C4" s="18" t="s">
        <v>17</v>
      </c>
      <c r="D4" s="20" t="s">
        <v>17</v>
      </c>
      <c r="E4" s="18" t="s">
        <v>20</v>
      </c>
      <c r="F4" s="20" t="s">
        <v>20</v>
      </c>
      <c r="G4" s="18" t="s">
        <v>266</v>
      </c>
      <c r="H4" s="20" t="s">
        <v>266</v>
      </c>
      <c r="I4" s="18" t="s">
        <v>267</v>
      </c>
      <c r="J4" s="20" t="s">
        <v>267</v>
      </c>
      <c r="K4" s="18" t="s">
        <v>268</v>
      </c>
      <c r="L4" s="20" t="s">
        <v>268</v>
      </c>
    </row>
    <row r="5" spans="1:12">
      <c r="A5" s="33">
        <f>'Traveler Readiness'!B10</f>
        <v>180</v>
      </c>
      <c r="B5" s="34"/>
      <c r="C5" s="35">
        <f>'Budget Control'!C14</f>
        <v>165</v>
      </c>
      <c r="D5" s="35"/>
      <c r="E5" s="35">
        <f>'Budget Control'!D14</f>
        <v>160.50000000000003</v>
      </c>
      <c r="F5" s="35"/>
      <c r="G5" s="35">
        <f>'Budget Control'!F14</f>
        <v>4.4999999999999716</v>
      </c>
      <c r="H5" s="35"/>
      <c r="I5" s="36">
        <v>0.96</v>
      </c>
      <c r="J5" s="36"/>
      <c r="K5" s="36">
        <v>0.92</v>
      </c>
      <c r="L5" s="37"/>
    </row>
    <row r="6" spans="1:12">
      <c r="A6" s="38"/>
      <c r="B6" s="39"/>
      <c r="C6" s="40"/>
      <c r="D6" s="40"/>
      <c r="E6" s="40"/>
      <c r="F6" s="40"/>
      <c r="G6" s="40"/>
      <c r="H6" s="40"/>
      <c r="I6" s="41"/>
      <c r="J6" s="41"/>
      <c r="K6" s="41"/>
      <c r="L6" s="42"/>
    </row>
    <row r="7" spans="1:12">
      <c r="A7" s="43"/>
      <c r="B7" s="44"/>
      <c r="C7" s="45"/>
      <c r="D7" s="45"/>
      <c r="E7" s="45"/>
      <c r="F7" s="45"/>
      <c r="G7" s="45"/>
      <c r="H7" s="45"/>
      <c r="I7" s="46"/>
      <c r="J7" s="46"/>
      <c r="K7" s="46"/>
      <c r="L7" s="47"/>
    </row>
    <row r="10" spans="1:12" ht="17">
      <c r="A10" s="5" t="s">
        <v>269</v>
      </c>
      <c r="B10" s="6" t="s">
        <v>270</v>
      </c>
      <c r="C10" s="6" t="s">
        <v>271</v>
      </c>
      <c r="D10" s="7" t="s">
        <v>48</v>
      </c>
      <c r="F10" s="18" t="s">
        <v>272</v>
      </c>
      <c r="G10" s="19" t="s">
        <v>272</v>
      </c>
      <c r="H10" s="19" t="s">
        <v>272</v>
      </c>
      <c r="I10" s="19" t="s">
        <v>272</v>
      </c>
      <c r="J10" s="19" t="s">
        <v>272</v>
      </c>
      <c r="K10" s="19" t="s">
        <v>272</v>
      </c>
      <c r="L10" s="20" t="s">
        <v>272</v>
      </c>
    </row>
    <row r="11" spans="1:12">
      <c r="A11" s="3" t="s">
        <v>273</v>
      </c>
      <c r="B11" s="48">
        <v>180</v>
      </c>
      <c r="C11" s="48">
        <v>180</v>
      </c>
      <c r="D11" s="3" t="str">
        <f>IF(C11&gt;=B11,"Met","Review")</f>
        <v>Met</v>
      </c>
      <c r="F11" s="3" t="s">
        <v>274</v>
      </c>
      <c r="G11" s="3">
        <v>28</v>
      </c>
      <c r="H11" s="32">
        <v>0.156</v>
      </c>
      <c r="I11" s="3" t="s">
        <v>275</v>
      </c>
      <c r="J11" s="3">
        <v>72</v>
      </c>
      <c r="K11" s="32">
        <v>0.4</v>
      </c>
    </row>
    <row r="12" spans="1:12">
      <c r="A12" s="3" t="s">
        <v>276</v>
      </c>
      <c r="B12" s="49">
        <v>1</v>
      </c>
      <c r="C12" s="49">
        <v>1</v>
      </c>
      <c r="D12" s="3" t="str">
        <f>IF(C12&gt;=B12,"Met","Review")</f>
        <v>Met</v>
      </c>
      <c r="F12" s="3" t="s">
        <v>277</v>
      </c>
      <c r="G12" s="3">
        <v>126</v>
      </c>
      <c r="H12" s="32">
        <v>0.7</v>
      </c>
      <c r="I12" s="3" t="s">
        <v>278</v>
      </c>
      <c r="J12" s="3">
        <v>162</v>
      </c>
      <c r="K12" s="32">
        <v>0.9</v>
      </c>
    </row>
    <row r="13" spans="1:12">
      <c r="A13" s="3" t="s">
        <v>267</v>
      </c>
      <c r="B13" s="49">
        <v>0.95</v>
      </c>
      <c r="C13" s="49">
        <v>0.96</v>
      </c>
      <c r="D13" s="3" t="str">
        <f>IF(C13&gt;=B13,"Met","Review")</f>
        <v>Met</v>
      </c>
      <c r="F13" s="3" t="s">
        <v>279</v>
      </c>
      <c r="G13" s="3">
        <v>174</v>
      </c>
      <c r="H13" s="32">
        <v>0.96699999999999997</v>
      </c>
      <c r="I13" s="3" t="s">
        <v>280</v>
      </c>
      <c r="J13" s="3">
        <v>180</v>
      </c>
      <c r="K13" s="32">
        <v>1</v>
      </c>
    </row>
    <row r="14" spans="1:12">
      <c r="A14" s="3" t="s">
        <v>281</v>
      </c>
      <c r="B14" s="49">
        <v>0.9</v>
      </c>
      <c r="C14" s="49">
        <v>0.92</v>
      </c>
      <c r="D14" s="3" t="str">
        <f>IF(C14&gt;=B14,"Met","Review")</f>
        <v>Met</v>
      </c>
      <c r="F14" s="50" t="s">
        <v>269</v>
      </c>
      <c r="G14" s="50" t="s">
        <v>282</v>
      </c>
      <c r="H14" s="50" t="s">
        <v>283</v>
      </c>
      <c r="I14" s="50" t="s">
        <v>269</v>
      </c>
      <c r="J14" s="50" t="s">
        <v>282</v>
      </c>
      <c r="K14" s="50" t="s">
        <v>283</v>
      </c>
      <c r="L14" s="50"/>
    </row>
    <row r="15" spans="1:12">
      <c r="A15" s="3" t="s">
        <v>284</v>
      </c>
      <c r="B15" s="49">
        <v>0</v>
      </c>
      <c r="C15" s="49">
        <v>0</v>
      </c>
      <c r="D15" s="3" t="str">
        <f>IF(C15&gt;=B15,"Met","Review")</f>
        <v>Met</v>
      </c>
      <c r="F15" s="3" t="s">
        <v>285</v>
      </c>
      <c r="I15" s="3" t="s">
        <v>257</v>
      </c>
    </row>
    <row r="16" spans="1:12">
      <c r="A16" s="3" t="s">
        <v>286</v>
      </c>
      <c r="B16" s="51">
        <v>165</v>
      </c>
      <c r="C16" s="51">
        <v>160.5</v>
      </c>
      <c r="D16" s="3" t="str">
        <f>IF(C16&lt;=B16,"Met","Review")</f>
        <v>Met</v>
      </c>
      <c r="F16" s="3" t="s">
        <v>287</v>
      </c>
      <c r="G16" s="3">
        <f>'Traveler Readiness'!H10-'Traveler Readiness'!H5</f>
        <v>152</v>
      </c>
      <c r="I16" s="3" t="s">
        <v>263</v>
      </c>
      <c r="J16" s="3">
        <f>'Traveler Readiness'!J10</f>
        <v>0</v>
      </c>
      <c r="K16" s="3">
        <v>0</v>
      </c>
    </row>
    <row r="19" spans="1:4">
      <c r="A19" s="18" t="s">
        <v>288</v>
      </c>
      <c r="B19" s="19" t="s">
        <v>288</v>
      </c>
      <c r="C19" s="19" t="s">
        <v>288</v>
      </c>
      <c r="D19" s="20" t="s">
        <v>288</v>
      </c>
    </row>
    <row r="20" spans="1:4">
      <c r="A20" s="52" t="s">
        <v>289</v>
      </c>
      <c r="B20" s="52" t="s">
        <v>289</v>
      </c>
      <c r="C20" s="52" t="s">
        <v>289</v>
      </c>
      <c r="D20" s="52" t="s">
        <v>289</v>
      </c>
    </row>
    <row r="21" spans="1:4">
      <c r="A21" s="52" t="s">
        <v>289</v>
      </c>
      <c r="B21" s="52" t="s">
        <v>289</v>
      </c>
      <c r="C21" s="52" t="s">
        <v>289</v>
      </c>
      <c r="D21" s="52" t="s">
        <v>289</v>
      </c>
    </row>
    <row r="22" spans="1:4">
      <c r="A22" s="52" t="s">
        <v>289</v>
      </c>
      <c r="B22" s="52" t="s">
        <v>289</v>
      </c>
      <c r="C22" s="52" t="s">
        <v>289</v>
      </c>
      <c r="D22" s="52" t="s">
        <v>289</v>
      </c>
    </row>
    <row r="23" spans="1:4">
      <c r="A23" s="52" t="s">
        <v>289</v>
      </c>
      <c r="B23" s="52" t="s">
        <v>289</v>
      </c>
      <c r="C23" s="52" t="s">
        <v>289</v>
      </c>
      <c r="D23" s="52" t="s">
        <v>289</v>
      </c>
    </row>
    <row r="25" spans="1:4" ht="2" customHeight="1">
      <c r="A25" s="53" t="s">
        <v>248</v>
      </c>
      <c r="B25" s="53" t="s">
        <v>255</v>
      </c>
    </row>
    <row r="26" spans="1:4" ht="2" customHeight="1">
      <c r="A26" s="53" t="str">
        <f>'Traveler Readiness'!A5</f>
        <v>8 weeks before</v>
      </c>
      <c r="B26" s="53">
        <f>'Traveler Readiness'!H5</f>
        <v>28</v>
      </c>
    </row>
    <row r="27" spans="1:4" ht="2" customHeight="1">
      <c r="A27" s="53" t="str">
        <f>'Traveler Readiness'!A6</f>
        <v>6 weeks before</v>
      </c>
      <c r="B27" s="53">
        <f>'Traveler Readiness'!H6</f>
        <v>72</v>
      </c>
    </row>
    <row r="28" spans="1:4" ht="2" customHeight="1">
      <c r="A28" s="53" t="str">
        <f>'Traveler Readiness'!A7</f>
        <v>4 weeks before</v>
      </c>
      <c r="B28" s="53">
        <f>'Traveler Readiness'!H7</f>
        <v>126</v>
      </c>
    </row>
    <row r="29" spans="1:4" ht="2" customHeight="1">
      <c r="A29" s="53" t="str">
        <f>'Traveler Readiness'!A8</f>
        <v>2 weeks before</v>
      </c>
      <c r="B29" s="53">
        <f>'Traveler Readiness'!H8</f>
        <v>162</v>
      </c>
    </row>
    <row r="30" spans="1:4" ht="2" customHeight="1">
      <c r="A30" s="53" t="str">
        <f>'Traveler Readiness'!A9</f>
        <v>1 week before</v>
      </c>
      <c r="B30" s="53">
        <f>'Traveler Readiness'!H9</f>
        <v>174</v>
      </c>
    </row>
    <row r="31" spans="1:4" ht="2" customHeight="1">
      <c r="A31" s="53" t="str">
        <f>'Traveler Readiness'!A10</f>
        <v>Departure day</v>
      </c>
      <c r="B31" s="53">
        <f>'Traveler Readiness'!H10</f>
        <v>180</v>
      </c>
    </row>
  </sheetData>
  <mergeCells count="16">
    <mergeCell ref="F10:L10"/>
    <mergeCell ref="A19:D19"/>
    <mergeCell ref="A20:D23"/>
    <mergeCell ref="A1:L2"/>
    <mergeCell ref="A4:B4"/>
    <mergeCell ref="A5:B7"/>
    <mergeCell ref="C4:D4"/>
    <mergeCell ref="C5:D7"/>
    <mergeCell ref="E4:F4"/>
    <mergeCell ref="E5:F7"/>
    <mergeCell ref="G4:H4"/>
    <mergeCell ref="G5:H7"/>
    <mergeCell ref="I4:J4"/>
    <mergeCell ref="I5:J7"/>
    <mergeCell ref="K4:L4"/>
    <mergeCell ref="K5:L7"/>
  </mergeCells>
  <conditionalFormatting sqref="D11:D16">
    <cfRule type="containsText" dxfId="1" priority="1" operator="containsText" text="Met"/>
    <cfRule type="containsText" dxfId="0" priority="2" operator="containsText" text="Review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 Summary</vt:lpstr>
      <vt:lpstr>Project Timeline</vt:lpstr>
      <vt:lpstr>Budget Control</vt:lpstr>
      <vt:lpstr>Vendor Tracker</vt:lpstr>
      <vt:lpstr>RAID Log</vt:lpstr>
      <vt:lpstr>RACI</vt:lpstr>
      <vt:lpstr>Traveler Readiness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Agnes Abiodun Iwaye</cp:lastModifiedBy>
  <dcterms:modified xsi:type="dcterms:W3CDTF">2026-09-01T22:02:09Z</dcterms:modified>
</cp:coreProperties>
</file>